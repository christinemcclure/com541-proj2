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50" windowWidth="24915" windowHeight="12075" activeTab="1"/>
  </bookViews>
  <sheets>
    <sheet name="orig_e_resources_table" sheetId="1" r:id="rId1"/>
    <sheet name="select and format columns" sheetId="2" r:id="rId2"/>
  </sheets>
  <calcPr calcId="145621"/>
</workbook>
</file>

<file path=xl/calcChain.xml><?xml version="1.0" encoding="utf-8"?>
<calcChain xmlns="http://schemas.openxmlformats.org/spreadsheetml/2006/main">
  <c r="G3" i="2" l="1"/>
  <c r="G4" i="2"/>
  <c r="G5" i="2"/>
  <c r="G6" i="2"/>
  <c r="G7" i="2"/>
  <c r="G8" i="2"/>
  <c r="G9" i="2"/>
  <c r="G10" i="2"/>
  <c r="G11" i="2"/>
  <c r="G12" i="2"/>
  <c r="G13" i="2"/>
  <c r="G14" i="2"/>
  <c r="G15" i="2"/>
  <c r="G16" i="2"/>
  <c r="G18" i="2"/>
  <c r="G20" i="2"/>
  <c r="G21" i="2"/>
  <c r="G22" i="2"/>
  <c r="G23" i="2"/>
  <c r="G24" i="2"/>
  <c r="G25" i="2"/>
  <c r="G27" i="2"/>
  <c r="G26" i="2"/>
  <c r="G28" i="2"/>
  <c r="G29" i="2"/>
  <c r="G30" i="2"/>
  <c r="G219" i="2"/>
  <c r="G32" i="2"/>
  <c r="G33" i="2"/>
  <c r="G34" i="2"/>
  <c r="G35" i="2"/>
  <c r="G37" i="2"/>
  <c r="G38" i="2"/>
  <c r="G40" i="2"/>
  <c r="G41" i="2"/>
  <c r="G42" i="2"/>
  <c r="G43" i="2"/>
  <c r="G45" i="2"/>
  <c r="G46" i="2"/>
  <c r="G47" i="2"/>
  <c r="G48" i="2"/>
  <c r="G50" i="2"/>
  <c r="G52" i="2"/>
  <c r="G53" i="2"/>
  <c r="G51" i="2"/>
  <c r="G54" i="2"/>
  <c r="G55" i="2"/>
  <c r="G56" i="2"/>
  <c r="G57" i="2"/>
  <c r="G61" i="2"/>
  <c r="G58" i="2"/>
  <c r="G59" i="2"/>
  <c r="G60" i="2"/>
  <c r="G62" i="2"/>
  <c r="G64" i="2"/>
  <c r="G65" i="2"/>
  <c r="G66" i="2"/>
  <c r="G67" i="2"/>
  <c r="G68" i="2"/>
  <c r="G69" i="2"/>
  <c r="G70" i="2"/>
  <c r="G71" i="2"/>
  <c r="G72" i="2"/>
  <c r="G73" i="2"/>
  <c r="G75" i="2"/>
  <c r="G76" i="2"/>
  <c r="G36" i="2"/>
  <c r="G78" i="2"/>
  <c r="G81" i="2"/>
  <c r="G82" i="2"/>
  <c r="G83" i="2"/>
  <c r="G84" i="2"/>
  <c r="G85" i="2"/>
  <c r="G86" i="2"/>
  <c r="G87" i="2"/>
  <c r="G88" i="2"/>
  <c r="G89" i="2"/>
  <c r="G90" i="2"/>
  <c r="G91" i="2"/>
  <c r="G92" i="2"/>
  <c r="G93" i="2"/>
  <c r="G94" i="2"/>
  <c r="G95" i="2"/>
  <c r="G96" i="2"/>
  <c r="G97" i="2"/>
  <c r="G98" i="2"/>
  <c r="G99" i="2"/>
  <c r="G100" i="2"/>
  <c r="G101" i="2"/>
  <c r="G102" i="2"/>
  <c r="G105" i="2"/>
  <c r="G106" i="2"/>
  <c r="G109" i="2"/>
  <c r="G112" i="2"/>
  <c r="G113" i="2"/>
  <c r="G115" i="2"/>
  <c r="G116" i="2"/>
  <c r="G119" i="2"/>
  <c r="G121" i="2"/>
  <c r="G122" i="2"/>
  <c r="G123" i="2"/>
  <c r="G124" i="2"/>
  <c r="G126" i="2"/>
  <c r="G127" i="2"/>
  <c r="G128" i="2"/>
  <c r="G131" i="2"/>
  <c r="G144" i="2"/>
  <c r="G235" i="2"/>
  <c r="G133" i="2"/>
  <c r="G135" i="2"/>
  <c r="G136" i="2"/>
  <c r="G137" i="2"/>
  <c r="G138" i="2"/>
  <c r="G139" i="2"/>
  <c r="G140" i="2"/>
  <c r="G141" i="2"/>
  <c r="G142" i="2"/>
  <c r="G143" i="2"/>
  <c r="G117" i="2"/>
  <c r="G145" i="2"/>
  <c r="G147" i="2"/>
  <c r="G148" i="2"/>
  <c r="G149" i="2"/>
  <c r="G150" i="2"/>
  <c r="G151" i="2"/>
  <c r="G153" i="2"/>
  <c r="G154" i="2"/>
  <c r="G155" i="2"/>
  <c r="G156" i="2"/>
  <c r="G157" i="2"/>
  <c r="G158" i="2"/>
  <c r="G159" i="2"/>
  <c r="G160" i="2"/>
  <c r="G205" i="2"/>
  <c r="G162" i="2"/>
  <c r="G163" i="2"/>
  <c r="G164" i="2"/>
  <c r="G165" i="2"/>
  <c r="G166" i="2"/>
  <c r="G167" i="2"/>
  <c r="G171" i="2"/>
  <c r="G80" i="2"/>
  <c r="G177" i="2"/>
  <c r="G172" i="2"/>
  <c r="G173" i="2"/>
  <c r="G175" i="2"/>
  <c r="G176" i="2"/>
  <c r="G179" i="2"/>
  <c r="G181" i="2"/>
  <c r="G108" i="2"/>
  <c r="G182" i="2"/>
  <c r="G185" i="2"/>
  <c r="G186" i="2"/>
  <c r="G187" i="2"/>
  <c r="G188" i="2"/>
  <c r="G189" i="2"/>
  <c r="G190" i="2"/>
  <c r="G191" i="2"/>
  <c r="G193" i="2"/>
  <c r="G194" i="2"/>
  <c r="G195" i="2"/>
  <c r="G196" i="2"/>
  <c r="G197" i="2"/>
  <c r="G199" i="2"/>
  <c r="G201" i="2"/>
  <c r="G77" i="2"/>
  <c r="G202" i="2"/>
  <c r="G203" i="2"/>
  <c r="G204" i="2"/>
  <c r="G208" i="2"/>
  <c r="G209" i="2"/>
  <c r="G210" i="2"/>
  <c r="G211" i="2"/>
  <c r="G212" i="2"/>
  <c r="G213" i="2"/>
  <c r="G107" i="2"/>
  <c r="G214" i="2"/>
  <c r="G215" i="2"/>
  <c r="G217" i="2"/>
  <c r="G218" i="2"/>
  <c r="G220" i="2"/>
  <c r="G221" i="2"/>
  <c r="G222" i="2"/>
  <c r="G223" i="2"/>
  <c r="G224" i="2"/>
  <c r="G226" i="2"/>
  <c r="G230" i="2"/>
  <c r="G231" i="2"/>
  <c r="G232" i="2"/>
  <c r="G234" i="2"/>
  <c r="G238" i="2"/>
  <c r="G240" i="2"/>
  <c r="G241" i="2"/>
  <c r="G242" i="2"/>
  <c r="G244" i="2"/>
  <c r="G245" i="2"/>
  <c r="G246" i="2"/>
  <c r="G247" i="2"/>
  <c r="G248" i="2"/>
  <c r="G249" i="2"/>
  <c r="G250" i="2"/>
  <c r="G251" i="2"/>
  <c r="G252" i="2"/>
  <c r="G253" i="2"/>
  <c r="G254" i="2"/>
  <c r="G255" i="2"/>
  <c r="G256" i="2"/>
  <c r="G257" i="2"/>
  <c r="G258" i="2"/>
  <c r="G169" i="2"/>
  <c r="G114" i="2"/>
  <c r="G260" i="2"/>
  <c r="G130" i="2"/>
  <c r="G104" i="2"/>
  <c r="G39" i="2"/>
  <c r="G229" i="2"/>
  <c r="G200" i="2"/>
  <c r="G120" i="2"/>
  <c r="G63" i="2"/>
  <c r="G44" i="2"/>
  <c r="G134" i="2"/>
  <c r="G74" i="2"/>
  <c r="G125" i="2"/>
  <c r="G207" i="2"/>
  <c r="G110" i="2"/>
  <c r="G180" i="2"/>
  <c r="G129" i="2"/>
  <c r="G184" i="2"/>
  <c r="G19" i="2"/>
  <c r="G206" i="2"/>
  <c r="G17" i="2"/>
  <c r="G178" i="2"/>
  <c r="G111" i="2"/>
  <c r="G49" i="2"/>
  <c r="G174" i="2"/>
  <c r="G170" i="2"/>
  <c r="G233" i="2"/>
  <c r="G161" i="2"/>
  <c r="G236" i="2"/>
  <c r="G118" i="2"/>
  <c r="G225" i="2"/>
  <c r="G259" i="2"/>
  <c r="G103" i="2"/>
  <c r="G152" i="2"/>
  <c r="G239" i="2"/>
  <c r="G132" i="2"/>
  <c r="G146" i="2"/>
  <c r="G243" i="2"/>
  <c r="G216" i="2"/>
  <c r="G228" i="2"/>
  <c r="G168" i="2"/>
  <c r="G198" i="2"/>
  <c r="G237" i="2"/>
  <c r="G192" i="2"/>
  <c r="G183" i="2"/>
  <c r="G227" i="2"/>
  <c r="G31" i="2"/>
  <c r="G79" i="2"/>
  <c r="G2" i="2"/>
  <c r="F10" i="2"/>
  <c r="F11" i="2"/>
  <c r="F12" i="2"/>
  <c r="F13" i="2"/>
  <c r="F14" i="2"/>
  <c r="F15" i="2"/>
  <c r="F16" i="2"/>
  <c r="F18" i="2"/>
  <c r="F20" i="2"/>
  <c r="F21" i="2"/>
  <c r="F22" i="2"/>
  <c r="F23" i="2"/>
  <c r="F24" i="2"/>
  <c r="F25" i="2"/>
  <c r="F27" i="2"/>
  <c r="F26" i="2"/>
  <c r="F28" i="2"/>
  <c r="F29" i="2"/>
  <c r="F30" i="2"/>
  <c r="F219" i="2"/>
  <c r="F32" i="2"/>
  <c r="F33" i="2"/>
  <c r="F34" i="2"/>
  <c r="F35" i="2"/>
  <c r="F37" i="2"/>
  <c r="F38" i="2"/>
  <c r="F40" i="2"/>
  <c r="F41" i="2"/>
  <c r="F42" i="2"/>
  <c r="F43" i="2"/>
  <c r="F45" i="2"/>
  <c r="F46" i="2"/>
  <c r="F47" i="2"/>
  <c r="F48" i="2"/>
  <c r="F50" i="2"/>
  <c r="F52" i="2"/>
  <c r="F53" i="2"/>
  <c r="F51" i="2"/>
  <c r="F54" i="2"/>
  <c r="F55" i="2"/>
  <c r="F56" i="2"/>
  <c r="F57" i="2"/>
  <c r="F61" i="2"/>
  <c r="F58" i="2"/>
  <c r="F59" i="2"/>
  <c r="F60" i="2"/>
  <c r="F62" i="2"/>
  <c r="F64" i="2"/>
  <c r="F65" i="2"/>
  <c r="F66" i="2"/>
  <c r="F67" i="2"/>
  <c r="F68" i="2"/>
  <c r="F69" i="2"/>
  <c r="F70" i="2"/>
  <c r="F71" i="2"/>
  <c r="F72" i="2"/>
  <c r="F73" i="2"/>
  <c r="F75" i="2"/>
  <c r="F76" i="2"/>
  <c r="F36" i="2"/>
  <c r="F78" i="2"/>
  <c r="F81" i="2"/>
  <c r="F82" i="2"/>
  <c r="F83" i="2"/>
  <c r="F84" i="2"/>
  <c r="F85" i="2"/>
  <c r="F86" i="2"/>
  <c r="F87" i="2"/>
  <c r="F88" i="2"/>
  <c r="F89" i="2"/>
  <c r="F90" i="2"/>
  <c r="F91" i="2"/>
  <c r="F92" i="2"/>
  <c r="F93" i="2"/>
  <c r="F94" i="2"/>
  <c r="F95" i="2"/>
  <c r="F96" i="2"/>
  <c r="F97" i="2"/>
  <c r="F98" i="2"/>
  <c r="F99" i="2"/>
  <c r="F100" i="2"/>
  <c r="F101" i="2"/>
  <c r="F102" i="2"/>
  <c r="F105" i="2"/>
  <c r="F106" i="2"/>
  <c r="F109" i="2"/>
  <c r="F112" i="2"/>
  <c r="F113" i="2"/>
  <c r="F115" i="2"/>
  <c r="F116" i="2"/>
  <c r="F119" i="2"/>
  <c r="F121" i="2"/>
  <c r="F122" i="2"/>
  <c r="F123" i="2"/>
  <c r="F124" i="2"/>
  <c r="F126" i="2"/>
  <c r="F127" i="2"/>
  <c r="F128" i="2"/>
  <c r="F131" i="2"/>
  <c r="F144" i="2"/>
  <c r="F235" i="2"/>
  <c r="F133" i="2"/>
  <c r="F135" i="2"/>
  <c r="F136" i="2"/>
  <c r="F137" i="2"/>
  <c r="F138" i="2"/>
  <c r="F139" i="2"/>
  <c r="F140" i="2"/>
  <c r="F141" i="2"/>
  <c r="F142" i="2"/>
  <c r="F143" i="2"/>
  <c r="F117" i="2"/>
  <c r="F145" i="2"/>
  <c r="F147" i="2"/>
  <c r="F148" i="2"/>
  <c r="F149" i="2"/>
  <c r="F150" i="2"/>
  <c r="F151" i="2"/>
  <c r="F153" i="2"/>
  <c r="F154" i="2"/>
  <c r="F155" i="2"/>
  <c r="F156" i="2"/>
  <c r="F157" i="2"/>
  <c r="F158" i="2"/>
  <c r="F159" i="2"/>
  <c r="F160" i="2"/>
  <c r="F205" i="2"/>
  <c r="F162" i="2"/>
  <c r="F163" i="2"/>
  <c r="F164" i="2"/>
  <c r="F165" i="2"/>
  <c r="F166" i="2"/>
  <c r="F167" i="2"/>
  <c r="F171" i="2"/>
  <c r="F80" i="2"/>
  <c r="F177" i="2"/>
  <c r="F172" i="2"/>
  <c r="F173" i="2"/>
  <c r="F175" i="2"/>
  <c r="F176" i="2"/>
  <c r="F179" i="2"/>
  <c r="F181" i="2"/>
  <c r="F108" i="2"/>
  <c r="F182" i="2"/>
  <c r="F185" i="2"/>
  <c r="F186" i="2"/>
  <c r="F187" i="2"/>
  <c r="F188" i="2"/>
  <c r="F189" i="2"/>
  <c r="F190" i="2"/>
  <c r="F191" i="2"/>
  <c r="F193" i="2"/>
  <c r="F194" i="2"/>
  <c r="F195" i="2"/>
  <c r="F196" i="2"/>
  <c r="F197" i="2"/>
  <c r="F199" i="2"/>
  <c r="F201" i="2"/>
  <c r="F77" i="2"/>
  <c r="F202" i="2"/>
  <c r="F203" i="2"/>
  <c r="F204" i="2"/>
  <c r="F208" i="2"/>
  <c r="F209" i="2"/>
  <c r="F210" i="2"/>
  <c r="F211" i="2"/>
  <c r="F212" i="2"/>
  <c r="F213" i="2"/>
  <c r="F107" i="2"/>
  <c r="F214" i="2"/>
  <c r="F215" i="2"/>
  <c r="F217" i="2"/>
  <c r="F218" i="2"/>
  <c r="F220" i="2"/>
  <c r="F221" i="2"/>
  <c r="F222" i="2"/>
  <c r="F223" i="2"/>
  <c r="F224" i="2"/>
  <c r="F226" i="2"/>
  <c r="F230" i="2"/>
  <c r="F231" i="2"/>
  <c r="F232" i="2"/>
  <c r="F234" i="2"/>
  <c r="F238" i="2"/>
  <c r="F240" i="2"/>
  <c r="F241" i="2"/>
  <c r="F242" i="2"/>
  <c r="F244" i="2"/>
  <c r="F245" i="2"/>
  <c r="F246" i="2"/>
  <c r="F247" i="2"/>
  <c r="F248" i="2"/>
  <c r="F249" i="2"/>
  <c r="F250" i="2"/>
  <c r="F251" i="2"/>
  <c r="F252" i="2"/>
  <c r="F253" i="2"/>
  <c r="F254" i="2"/>
  <c r="F255" i="2"/>
  <c r="F256" i="2"/>
  <c r="F257" i="2"/>
  <c r="F258" i="2"/>
  <c r="F169" i="2"/>
  <c r="F114" i="2"/>
  <c r="F260" i="2"/>
  <c r="F130" i="2"/>
  <c r="F104" i="2"/>
  <c r="F39" i="2"/>
  <c r="F229" i="2"/>
  <c r="F200" i="2"/>
  <c r="F120" i="2"/>
  <c r="F63" i="2"/>
  <c r="F44" i="2"/>
  <c r="F134" i="2"/>
  <c r="F74" i="2"/>
  <c r="F125" i="2"/>
  <c r="F207" i="2"/>
  <c r="F110" i="2"/>
  <c r="F180" i="2"/>
  <c r="F129" i="2"/>
  <c r="F184" i="2"/>
  <c r="F19" i="2"/>
  <c r="F206" i="2"/>
  <c r="F17" i="2"/>
  <c r="F178" i="2"/>
  <c r="F111" i="2"/>
  <c r="F49" i="2"/>
  <c r="F174" i="2"/>
  <c r="F170" i="2"/>
  <c r="F233" i="2"/>
  <c r="F161" i="2"/>
  <c r="F236" i="2"/>
  <c r="F118" i="2"/>
  <c r="F225" i="2"/>
  <c r="F259" i="2"/>
  <c r="F103" i="2"/>
  <c r="F152" i="2"/>
  <c r="F239" i="2"/>
  <c r="F132" i="2"/>
  <c r="F146" i="2"/>
  <c r="F243" i="2"/>
  <c r="F216" i="2"/>
  <c r="F228" i="2"/>
  <c r="F168" i="2"/>
  <c r="F198" i="2"/>
  <c r="F237" i="2"/>
  <c r="F192" i="2"/>
  <c r="F183" i="2"/>
  <c r="F227" i="2"/>
  <c r="F31" i="2"/>
  <c r="F79" i="2"/>
  <c r="F3" i="2"/>
  <c r="F4" i="2"/>
  <c r="F5" i="2"/>
  <c r="F6" i="2"/>
  <c r="F7" i="2"/>
  <c r="F8" i="2"/>
  <c r="F9" i="2"/>
  <c r="E3" i="2"/>
  <c r="I3" i="2" s="1"/>
  <c r="E4" i="2"/>
  <c r="I4" i="2" s="1"/>
  <c r="E5" i="2"/>
  <c r="I5" i="2" s="1"/>
  <c r="E6" i="2"/>
  <c r="I6" i="2" s="1"/>
  <c r="E7" i="2"/>
  <c r="I7" i="2" s="1"/>
  <c r="E8" i="2"/>
  <c r="I8" i="2" s="1"/>
  <c r="E9" i="2"/>
  <c r="I9" i="2" s="1"/>
  <c r="E10" i="2"/>
  <c r="I10" i="2" s="1"/>
  <c r="E11" i="2"/>
  <c r="I11" i="2" s="1"/>
  <c r="E12" i="2"/>
  <c r="I12" i="2" s="1"/>
  <c r="E13" i="2"/>
  <c r="I13" i="2" s="1"/>
  <c r="E14" i="2"/>
  <c r="I14" i="2" s="1"/>
  <c r="E15" i="2"/>
  <c r="I15" i="2" s="1"/>
  <c r="E16" i="2"/>
  <c r="I16" i="2" s="1"/>
  <c r="E18" i="2"/>
  <c r="I18" i="2" s="1"/>
  <c r="E20" i="2"/>
  <c r="I20" i="2" s="1"/>
  <c r="E21" i="2"/>
  <c r="I21" i="2" s="1"/>
  <c r="E22" i="2"/>
  <c r="I22" i="2" s="1"/>
  <c r="E23" i="2"/>
  <c r="I23" i="2" s="1"/>
  <c r="E24" i="2"/>
  <c r="I24" i="2" s="1"/>
  <c r="E25" i="2"/>
  <c r="I25" i="2" s="1"/>
  <c r="E27" i="2"/>
  <c r="I27" i="2" s="1"/>
  <c r="E26" i="2"/>
  <c r="I26" i="2" s="1"/>
  <c r="E28" i="2"/>
  <c r="I28" i="2" s="1"/>
  <c r="E29" i="2"/>
  <c r="I29" i="2" s="1"/>
  <c r="E30" i="2"/>
  <c r="I30" i="2" s="1"/>
  <c r="E219" i="2"/>
  <c r="I219" i="2" s="1"/>
  <c r="E32" i="2"/>
  <c r="I32" i="2" s="1"/>
  <c r="E33" i="2"/>
  <c r="I33" i="2" s="1"/>
  <c r="E34" i="2"/>
  <c r="I34" i="2" s="1"/>
  <c r="E35" i="2"/>
  <c r="I35" i="2" s="1"/>
  <c r="E37" i="2"/>
  <c r="I37" i="2" s="1"/>
  <c r="E38" i="2"/>
  <c r="I38" i="2" s="1"/>
  <c r="E40" i="2"/>
  <c r="I40" i="2" s="1"/>
  <c r="E41" i="2"/>
  <c r="I41" i="2" s="1"/>
  <c r="E42" i="2"/>
  <c r="I42" i="2" s="1"/>
  <c r="E43" i="2"/>
  <c r="I43" i="2" s="1"/>
  <c r="E45" i="2"/>
  <c r="I45" i="2" s="1"/>
  <c r="E46" i="2"/>
  <c r="I46" i="2" s="1"/>
  <c r="E47" i="2"/>
  <c r="I47" i="2" s="1"/>
  <c r="E48" i="2"/>
  <c r="I48" i="2" s="1"/>
  <c r="E50" i="2"/>
  <c r="I50" i="2" s="1"/>
  <c r="E52" i="2"/>
  <c r="I52" i="2" s="1"/>
  <c r="E53" i="2"/>
  <c r="I53" i="2" s="1"/>
  <c r="E51" i="2"/>
  <c r="I51" i="2" s="1"/>
  <c r="E54" i="2"/>
  <c r="I54" i="2" s="1"/>
  <c r="E55" i="2"/>
  <c r="I55" i="2" s="1"/>
  <c r="E56" i="2"/>
  <c r="I56" i="2" s="1"/>
  <c r="E57" i="2"/>
  <c r="I57" i="2" s="1"/>
  <c r="E61" i="2"/>
  <c r="I61" i="2" s="1"/>
  <c r="E58" i="2"/>
  <c r="I58" i="2" s="1"/>
  <c r="E59" i="2"/>
  <c r="I59" i="2" s="1"/>
  <c r="E60" i="2"/>
  <c r="I60" i="2" s="1"/>
  <c r="E62" i="2"/>
  <c r="I62" i="2" s="1"/>
  <c r="E64" i="2"/>
  <c r="I64" i="2" s="1"/>
  <c r="E65" i="2"/>
  <c r="I65" i="2" s="1"/>
  <c r="E66" i="2"/>
  <c r="I66" i="2" s="1"/>
  <c r="E67" i="2"/>
  <c r="I67" i="2" s="1"/>
  <c r="E68" i="2"/>
  <c r="I68" i="2" s="1"/>
  <c r="E69" i="2"/>
  <c r="I69" i="2" s="1"/>
  <c r="E70" i="2"/>
  <c r="I70" i="2" s="1"/>
  <c r="E71" i="2"/>
  <c r="I71" i="2" s="1"/>
  <c r="E72" i="2"/>
  <c r="I72" i="2" s="1"/>
  <c r="E73" i="2"/>
  <c r="I73" i="2" s="1"/>
  <c r="E75" i="2"/>
  <c r="I75" i="2" s="1"/>
  <c r="E76" i="2"/>
  <c r="I76" i="2" s="1"/>
  <c r="E36" i="2"/>
  <c r="I36" i="2" s="1"/>
  <c r="E78" i="2"/>
  <c r="I78" i="2" s="1"/>
  <c r="E81" i="2"/>
  <c r="I81" i="2" s="1"/>
  <c r="E82" i="2"/>
  <c r="I82" i="2" s="1"/>
  <c r="E83" i="2"/>
  <c r="I83" i="2" s="1"/>
  <c r="E84" i="2"/>
  <c r="I84" i="2" s="1"/>
  <c r="E85" i="2"/>
  <c r="I85" i="2" s="1"/>
  <c r="E86" i="2"/>
  <c r="I86" i="2" s="1"/>
  <c r="E87" i="2"/>
  <c r="I87" i="2" s="1"/>
  <c r="E88" i="2"/>
  <c r="I88" i="2" s="1"/>
  <c r="E89" i="2"/>
  <c r="I89" i="2" s="1"/>
  <c r="E90" i="2"/>
  <c r="I90" i="2" s="1"/>
  <c r="E91" i="2"/>
  <c r="I91" i="2" s="1"/>
  <c r="E92" i="2"/>
  <c r="I92" i="2" s="1"/>
  <c r="E93" i="2"/>
  <c r="I93" i="2" s="1"/>
  <c r="E94" i="2"/>
  <c r="I94" i="2" s="1"/>
  <c r="E95" i="2"/>
  <c r="I95" i="2" s="1"/>
  <c r="E96" i="2"/>
  <c r="I96" i="2" s="1"/>
  <c r="E97" i="2"/>
  <c r="I97" i="2" s="1"/>
  <c r="E98" i="2"/>
  <c r="I98" i="2" s="1"/>
  <c r="E99" i="2"/>
  <c r="I99" i="2" s="1"/>
  <c r="E100" i="2"/>
  <c r="I100" i="2" s="1"/>
  <c r="E101" i="2"/>
  <c r="I101" i="2" s="1"/>
  <c r="E102" i="2"/>
  <c r="I102" i="2" s="1"/>
  <c r="E105" i="2"/>
  <c r="I105" i="2" s="1"/>
  <c r="E106" i="2"/>
  <c r="I106" i="2" s="1"/>
  <c r="E109" i="2"/>
  <c r="I109" i="2" s="1"/>
  <c r="E112" i="2"/>
  <c r="I112" i="2" s="1"/>
  <c r="E113" i="2"/>
  <c r="I113" i="2" s="1"/>
  <c r="E115" i="2"/>
  <c r="I115" i="2" s="1"/>
  <c r="E116" i="2"/>
  <c r="I116" i="2" s="1"/>
  <c r="E119" i="2"/>
  <c r="I119" i="2" s="1"/>
  <c r="E121" i="2"/>
  <c r="I121" i="2" s="1"/>
  <c r="E122" i="2"/>
  <c r="I122" i="2" s="1"/>
  <c r="E123" i="2"/>
  <c r="I123" i="2" s="1"/>
  <c r="E124" i="2"/>
  <c r="I124" i="2" s="1"/>
  <c r="E126" i="2"/>
  <c r="I126" i="2" s="1"/>
  <c r="E127" i="2"/>
  <c r="I127" i="2" s="1"/>
  <c r="E128" i="2"/>
  <c r="I128" i="2" s="1"/>
  <c r="E131" i="2"/>
  <c r="I131" i="2" s="1"/>
  <c r="E144" i="2"/>
  <c r="I144" i="2" s="1"/>
  <c r="E235" i="2"/>
  <c r="I235" i="2" s="1"/>
  <c r="E133" i="2"/>
  <c r="I133" i="2" s="1"/>
  <c r="E135" i="2"/>
  <c r="I135" i="2" s="1"/>
  <c r="E136" i="2"/>
  <c r="I136" i="2" s="1"/>
  <c r="E137" i="2"/>
  <c r="I137" i="2" s="1"/>
  <c r="E138" i="2"/>
  <c r="I138" i="2" s="1"/>
  <c r="E139" i="2"/>
  <c r="I139" i="2" s="1"/>
  <c r="E140" i="2"/>
  <c r="I140" i="2" s="1"/>
  <c r="E141" i="2"/>
  <c r="I141" i="2" s="1"/>
  <c r="E142" i="2"/>
  <c r="I142" i="2" s="1"/>
  <c r="E143" i="2"/>
  <c r="I143" i="2" s="1"/>
  <c r="E117" i="2"/>
  <c r="I117" i="2" s="1"/>
  <c r="E145" i="2"/>
  <c r="I145" i="2" s="1"/>
  <c r="E147" i="2"/>
  <c r="I147" i="2" s="1"/>
  <c r="E148" i="2"/>
  <c r="I148" i="2" s="1"/>
  <c r="E149" i="2"/>
  <c r="I149" i="2" s="1"/>
  <c r="E150" i="2"/>
  <c r="I150" i="2" s="1"/>
  <c r="E151" i="2"/>
  <c r="I151" i="2" s="1"/>
  <c r="E153" i="2"/>
  <c r="I153" i="2" s="1"/>
  <c r="E154" i="2"/>
  <c r="I154" i="2" s="1"/>
  <c r="E155" i="2"/>
  <c r="I155" i="2" s="1"/>
  <c r="E156" i="2"/>
  <c r="I156" i="2" s="1"/>
  <c r="E157" i="2"/>
  <c r="I157" i="2" s="1"/>
  <c r="E158" i="2"/>
  <c r="I158" i="2" s="1"/>
  <c r="E159" i="2"/>
  <c r="I159" i="2" s="1"/>
  <c r="E160" i="2"/>
  <c r="I160" i="2" s="1"/>
  <c r="E205" i="2"/>
  <c r="I205" i="2" s="1"/>
  <c r="E162" i="2"/>
  <c r="I162" i="2" s="1"/>
  <c r="E163" i="2"/>
  <c r="I163" i="2" s="1"/>
  <c r="E164" i="2"/>
  <c r="I164" i="2" s="1"/>
  <c r="E165" i="2"/>
  <c r="I165" i="2" s="1"/>
  <c r="E166" i="2"/>
  <c r="I166" i="2" s="1"/>
  <c r="E167" i="2"/>
  <c r="I167" i="2" s="1"/>
  <c r="E171" i="2"/>
  <c r="I171" i="2" s="1"/>
  <c r="E80" i="2"/>
  <c r="I80" i="2" s="1"/>
  <c r="E177" i="2"/>
  <c r="I177" i="2" s="1"/>
  <c r="E172" i="2"/>
  <c r="I172" i="2" s="1"/>
  <c r="E173" i="2"/>
  <c r="I173" i="2" s="1"/>
  <c r="E175" i="2"/>
  <c r="I175" i="2" s="1"/>
  <c r="E176" i="2"/>
  <c r="I176" i="2" s="1"/>
  <c r="E179" i="2"/>
  <c r="I179" i="2" s="1"/>
  <c r="E181" i="2"/>
  <c r="I181" i="2" s="1"/>
  <c r="E108" i="2"/>
  <c r="I108" i="2" s="1"/>
  <c r="E182" i="2"/>
  <c r="I182" i="2" s="1"/>
  <c r="E185" i="2"/>
  <c r="I185" i="2" s="1"/>
  <c r="E186" i="2"/>
  <c r="I186" i="2" s="1"/>
  <c r="E187" i="2"/>
  <c r="I187" i="2" s="1"/>
  <c r="E188" i="2"/>
  <c r="I188" i="2" s="1"/>
  <c r="E189" i="2"/>
  <c r="I189" i="2" s="1"/>
  <c r="E190" i="2"/>
  <c r="I190" i="2" s="1"/>
  <c r="E191" i="2"/>
  <c r="I191" i="2" s="1"/>
  <c r="E193" i="2"/>
  <c r="I193" i="2" s="1"/>
  <c r="E194" i="2"/>
  <c r="I194" i="2" s="1"/>
  <c r="E195" i="2"/>
  <c r="I195" i="2" s="1"/>
  <c r="E196" i="2"/>
  <c r="I196" i="2" s="1"/>
  <c r="E197" i="2"/>
  <c r="I197" i="2" s="1"/>
  <c r="E199" i="2"/>
  <c r="I199" i="2" s="1"/>
  <c r="E201" i="2"/>
  <c r="I201" i="2" s="1"/>
  <c r="E77" i="2"/>
  <c r="I77" i="2" s="1"/>
  <c r="E202" i="2"/>
  <c r="I202" i="2" s="1"/>
  <c r="E203" i="2"/>
  <c r="I203" i="2" s="1"/>
  <c r="E204" i="2"/>
  <c r="I204" i="2" s="1"/>
  <c r="E208" i="2"/>
  <c r="I208" i="2" s="1"/>
  <c r="E209" i="2"/>
  <c r="I209" i="2" s="1"/>
  <c r="E210" i="2"/>
  <c r="I210" i="2" s="1"/>
  <c r="E211" i="2"/>
  <c r="I211" i="2" s="1"/>
  <c r="E212" i="2"/>
  <c r="I212" i="2" s="1"/>
  <c r="E213" i="2"/>
  <c r="I213" i="2" s="1"/>
  <c r="E107" i="2"/>
  <c r="I107" i="2" s="1"/>
  <c r="E214" i="2"/>
  <c r="I214" i="2" s="1"/>
  <c r="E215" i="2"/>
  <c r="I215" i="2" s="1"/>
  <c r="E217" i="2"/>
  <c r="I217" i="2" s="1"/>
  <c r="E218" i="2"/>
  <c r="I218" i="2" s="1"/>
  <c r="E220" i="2"/>
  <c r="I220" i="2" s="1"/>
  <c r="E221" i="2"/>
  <c r="I221" i="2" s="1"/>
  <c r="E222" i="2"/>
  <c r="I222" i="2" s="1"/>
  <c r="E223" i="2"/>
  <c r="I223" i="2" s="1"/>
  <c r="E224" i="2"/>
  <c r="I224" i="2" s="1"/>
  <c r="E226" i="2"/>
  <c r="I226" i="2" s="1"/>
  <c r="E230" i="2"/>
  <c r="I230" i="2" s="1"/>
  <c r="E231" i="2"/>
  <c r="I231" i="2" s="1"/>
  <c r="E232" i="2"/>
  <c r="I232" i="2" s="1"/>
  <c r="E234" i="2"/>
  <c r="I234" i="2" s="1"/>
  <c r="E238" i="2"/>
  <c r="I238" i="2" s="1"/>
  <c r="E240" i="2"/>
  <c r="I240" i="2" s="1"/>
  <c r="E241" i="2"/>
  <c r="I241" i="2" s="1"/>
  <c r="E242" i="2"/>
  <c r="I242" i="2" s="1"/>
  <c r="E244" i="2"/>
  <c r="I244" i="2" s="1"/>
  <c r="E245" i="2"/>
  <c r="I245" i="2" s="1"/>
  <c r="E246" i="2"/>
  <c r="I246" i="2" s="1"/>
  <c r="E247" i="2"/>
  <c r="I247" i="2" s="1"/>
  <c r="E248" i="2"/>
  <c r="I248" i="2" s="1"/>
  <c r="E249" i="2"/>
  <c r="I249" i="2" s="1"/>
  <c r="E250" i="2"/>
  <c r="I250" i="2" s="1"/>
  <c r="E251" i="2"/>
  <c r="I251" i="2" s="1"/>
  <c r="E252" i="2"/>
  <c r="I252" i="2" s="1"/>
  <c r="E253" i="2"/>
  <c r="I253" i="2" s="1"/>
  <c r="E254" i="2"/>
  <c r="I254" i="2" s="1"/>
  <c r="E255" i="2"/>
  <c r="I255" i="2" s="1"/>
  <c r="E256" i="2"/>
  <c r="I256" i="2" s="1"/>
  <c r="E257" i="2"/>
  <c r="I257" i="2" s="1"/>
  <c r="E258" i="2"/>
  <c r="I258" i="2" s="1"/>
  <c r="E169" i="2"/>
  <c r="I169" i="2" s="1"/>
  <c r="E114" i="2"/>
  <c r="I114" i="2" s="1"/>
  <c r="E260" i="2"/>
  <c r="I260" i="2" s="1"/>
  <c r="E130" i="2"/>
  <c r="I130" i="2" s="1"/>
  <c r="E104" i="2"/>
  <c r="I104" i="2" s="1"/>
  <c r="E39" i="2"/>
  <c r="I39" i="2" s="1"/>
  <c r="E229" i="2"/>
  <c r="I229" i="2" s="1"/>
  <c r="E200" i="2"/>
  <c r="I200" i="2" s="1"/>
  <c r="E120" i="2"/>
  <c r="I120" i="2" s="1"/>
  <c r="E63" i="2"/>
  <c r="I63" i="2" s="1"/>
  <c r="E44" i="2"/>
  <c r="I44" i="2" s="1"/>
  <c r="E134" i="2"/>
  <c r="I134" i="2" s="1"/>
  <c r="E74" i="2"/>
  <c r="I74" i="2" s="1"/>
  <c r="E125" i="2"/>
  <c r="I125" i="2" s="1"/>
  <c r="E207" i="2"/>
  <c r="I207" i="2" s="1"/>
  <c r="E110" i="2"/>
  <c r="I110" i="2" s="1"/>
  <c r="E180" i="2"/>
  <c r="I180" i="2" s="1"/>
  <c r="E129" i="2"/>
  <c r="I129" i="2" s="1"/>
  <c r="E184" i="2"/>
  <c r="I184" i="2" s="1"/>
  <c r="E19" i="2"/>
  <c r="I19" i="2" s="1"/>
  <c r="E206" i="2"/>
  <c r="I206" i="2" s="1"/>
  <c r="E17" i="2"/>
  <c r="I17" i="2" s="1"/>
  <c r="E178" i="2"/>
  <c r="I178" i="2" s="1"/>
  <c r="E111" i="2"/>
  <c r="I111" i="2" s="1"/>
  <c r="E49" i="2"/>
  <c r="I49" i="2" s="1"/>
  <c r="E174" i="2"/>
  <c r="I174" i="2" s="1"/>
  <c r="E170" i="2"/>
  <c r="I170" i="2" s="1"/>
  <c r="E233" i="2"/>
  <c r="I233" i="2" s="1"/>
  <c r="E161" i="2"/>
  <c r="I161" i="2" s="1"/>
  <c r="E236" i="2"/>
  <c r="I236" i="2" s="1"/>
  <c r="E118" i="2"/>
  <c r="I118" i="2" s="1"/>
  <c r="E225" i="2"/>
  <c r="I225" i="2" s="1"/>
  <c r="E259" i="2"/>
  <c r="I259" i="2" s="1"/>
  <c r="E103" i="2"/>
  <c r="I103" i="2" s="1"/>
  <c r="E152" i="2"/>
  <c r="I152" i="2" s="1"/>
  <c r="E239" i="2"/>
  <c r="I239" i="2" s="1"/>
  <c r="E132" i="2"/>
  <c r="I132" i="2" s="1"/>
  <c r="E146" i="2"/>
  <c r="I146" i="2" s="1"/>
  <c r="E243" i="2"/>
  <c r="I243" i="2" s="1"/>
  <c r="E216" i="2"/>
  <c r="I216" i="2" s="1"/>
  <c r="E228" i="2"/>
  <c r="I228" i="2" s="1"/>
  <c r="E168" i="2"/>
  <c r="I168" i="2" s="1"/>
  <c r="E198" i="2"/>
  <c r="I198" i="2" s="1"/>
  <c r="E237" i="2"/>
  <c r="I237" i="2" s="1"/>
  <c r="E192" i="2"/>
  <c r="I192" i="2" s="1"/>
  <c r="E183" i="2"/>
  <c r="I183" i="2" s="1"/>
  <c r="E227" i="2"/>
  <c r="I227" i="2" s="1"/>
  <c r="E31" i="2"/>
  <c r="I31" i="2" s="1"/>
  <c r="E79" i="2"/>
  <c r="I79" i="2" s="1"/>
  <c r="F2" i="2"/>
  <c r="E2" i="2"/>
  <c r="I2" i="2" s="1"/>
  <c r="B3" i="2"/>
  <c r="C3" i="2"/>
  <c r="D3" i="2"/>
  <c r="B4" i="2"/>
  <c r="C4" i="2"/>
  <c r="D4" i="2"/>
  <c r="B5" i="2"/>
  <c r="C5" i="2"/>
  <c r="D5" i="2"/>
  <c r="B6" i="2"/>
  <c r="C6" i="2"/>
  <c r="D6" i="2"/>
  <c r="B7" i="2"/>
  <c r="C7" i="2"/>
  <c r="D7" i="2"/>
  <c r="B8" i="2"/>
  <c r="C8" i="2"/>
  <c r="D8" i="2"/>
  <c r="B9" i="2"/>
  <c r="C9" i="2"/>
  <c r="D9" i="2"/>
  <c r="B10" i="2"/>
  <c r="C10" i="2"/>
  <c r="D10" i="2"/>
  <c r="B11" i="2"/>
  <c r="C11" i="2"/>
  <c r="D11" i="2"/>
  <c r="B12" i="2"/>
  <c r="C12" i="2"/>
  <c r="D12" i="2"/>
  <c r="B13" i="2"/>
  <c r="C13" i="2"/>
  <c r="D13" i="2"/>
  <c r="B14" i="2"/>
  <c r="C14" i="2"/>
  <c r="D14" i="2"/>
  <c r="B15" i="2"/>
  <c r="C15" i="2"/>
  <c r="D15" i="2"/>
  <c r="B16" i="2"/>
  <c r="C16" i="2"/>
  <c r="D16" i="2"/>
  <c r="B18" i="2"/>
  <c r="C18" i="2"/>
  <c r="D18" i="2"/>
  <c r="B20" i="2"/>
  <c r="C20" i="2"/>
  <c r="D20" i="2"/>
  <c r="B21" i="2"/>
  <c r="C21" i="2"/>
  <c r="D21" i="2"/>
  <c r="B22" i="2"/>
  <c r="C22" i="2"/>
  <c r="D22" i="2"/>
  <c r="B23" i="2"/>
  <c r="C23" i="2"/>
  <c r="D23" i="2"/>
  <c r="B24" i="2"/>
  <c r="C24" i="2"/>
  <c r="D24" i="2"/>
  <c r="B25" i="2"/>
  <c r="C25" i="2"/>
  <c r="D25" i="2"/>
  <c r="B27" i="2"/>
  <c r="C27" i="2"/>
  <c r="D27" i="2"/>
  <c r="B26" i="2"/>
  <c r="C26" i="2"/>
  <c r="D26" i="2"/>
  <c r="B28" i="2"/>
  <c r="C28" i="2"/>
  <c r="D28" i="2"/>
  <c r="B29" i="2"/>
  <c r="C29" i="2"/>
  <c r="D29" i="2"/>
  <c r="B30" i="2"/>
  <c r="C30" i="2"/>
  <c r="D30" i="2"/>
  <c r="B219" i="2"/>
  <c r="C219" i="2"/>
  <c r="D219" i="2"/>
  <c r="B32" i="2"/>
  <c r="C32" i="2"/>
  <c r="D32" i="2"/>
  <c r="B33" i="2"/>
  <c r="C33" i="2"/>
  <c r="D33" i="2"/>
  <c r="B34" i="2"/>
  <c r="C34" i="2"/>
  <c r="D34" i="2"/>
  <c r="B35" i="2"/>
  <c r="C35" i="2"/>
  <c r="D35" i="2"/>
  <c r="B37" i="2"/>
  <c r="C37" i="2"/>
  <c r="D37" i="2"/>
  <c r="B38" i="2"/>
  <c r="C38" i="2"/>
  <c r="D38" i="2"/>
  <c r="B40" i="2"/>
  <c r="C40" i="2"/>
  <c r="D40" i="2"/>
  <c r="B41" i="2"/>
  <c r="C41" i="2"/>
  <c r="D41" i="2"/>
  <c r="B42" i="2"/>
  <c r="C42" i="2"/>
  <c r="D42" i="2"/>
  <c r="B43" i="2"/>
  <c r="C43" i="2"/>
  <c r="D43" i="2"/>
  <c r="B45" i="2"/>
  <c r="C45" i="2"/>
  <c r="D45" i="2"/>
  <c r="B46" i="2"/>
  <c r="C46" i="2"/>
  <c r="D46" i="2"/>
  <c r="B47" i="2"/>
  <c r="C47" i="2"/>
  <c r="D47" i="2"/>
  <c r="B48" i="2"/>
  <c r="C48" i="2"/>
  <c r="D48" i="2"/>
  <c r="B50" i="2"/>
  <c r="C50" i="2"/>
  <c r="D50" i="2"/>
  <c r="B52" i="2"/>
  <c r="C52" i="2"/>
  <c r="D52" i="2"/>
  <c r="B53" i="2"/>
  <c r="C53" i="2"/>
  <c r="D53" i="2"/>
  <c r="B51" i="2"/>
  <c r="C51" i="2"/>
  <c r="D51" i="2"/>
  <c r="B54" i="2"/>
  <c r="C54" i="2"/>
  <c r="D54" i="2"/>
  <c r="B55" i="2"/>
  <c r="C55" i="2"/>
  <c r="D55" i="2"/>
  <c r="B56" i="2"/>
  <c r="C56" i="2"/>
  <c r="D56" i="2"/>
  <c r="B57" i="2"/>
  <c r="C57" i="2"/>
  <c r="D57" i="2"/>
  <c r="B61" i="2"/>
  <c r="C61" i="2"/>
  <c r="D61" i="2"/>
  <c r="B58" i="2"/>
  <c r="C58" i="2"/>
  <c r="D58" i="2"/>
  <c r="B59" i="2"/>
  <c r="C59" i="2"/>
  <c r="D59" i="2"/>
  <c r="B60" i="2"/>
  <c r="C60" i="2"/>
  <c r="D60" i="2"/>
  <c r="B62" i="2"/>
  <c r="C62" i="2"/>
  <c r="D62" i="2"/>
  <c r="B64" i="2"/>
  <c r="C64" i="2"/>
  <c r="D64" i="2"/>
  <c r="B65" i="2"/>
  <c r="C65" i="2"/>
  <c r="D65" i="2"/>
  <c r="B66" i="2"/>
  <c r="C66" i="2"/>
  <c r="D66" i="2"/>
  <c r="B67" i="2"/>
  <c r="C67" i="2"/>
  <c r="D67" i="2"/>
  <c r="B68" i="2"/>
  <c r="C68" i="2"/>
  <c r="D68" i="2"/>
  <c r="B69" i="2"/>
  <c r="C69" i="2"/>
  <c r="D69" i="2"/>
  <c r="B70" i="2"/>
  <c r="C70" i="2"/>
  <c r="D70" i="2"/>
  <c r="B71" i="2"/>
  <c r="C71" i="2"/>
  <c r="D71" i="2"/>
  <c r="B72" i="2"/>
  <c r="C72" i="2"/>
  <c r="D72" i="2"/>
  <c r="B73" i="2"/>
  <c r="C73" i="2"/>
  <c r="D73" i="2"/>
  <c r="B75" i="2"/>
  <c r="C75" i="2"/>
  <c r="D75" i="2"/>
  <c r="B76" i="2"/>
  <c r="C76" i="2"/>
  <c r="D76" i="2"/>
  <c r="B36" i="2"/>
  <c r="C36" i="2"/>
  <c r="D36" i="2"/>
  <c r="B78" i="2"/>
  <c r="C78" i="2"/>
  <c r="D78" i="2"/>
  <c r="B81" i="2"/>
  <c r="C81" i="2"/>
  <c r="D81" i="2"/>
  <c r="B82" i="2"/>
  <c r="C82" i="2"/>
  <c r="D82" i="2"/>
  <c r="B83" i="2"/>
  <c r="C83" i="2"/>
  <c r="D83" i="2"/>
  <c r="B84" i="2"/>
  <c r="C84" i="2"/>
  <c r="D84" i="2"/>
  <c r="B85" i="2"/>
  <c r="C85" i="2"/>
  <c r="D85" i="2"/>
  <c r="B86" i="2"/>
  <c r="C86" i="2"/>
  <c r="D86" i="2"/>
  <c r="B87" i="2"/>
  <c r="C87" i="2"/>
  <c r="D87" i="2"/>
  <c r="B88" i="2"/>
  <c r="C88" i="2"/>
  <c r="D88" i="2"/>
  <c r="B89" i="2"/>
  <c r="C89" i="2"/>
  <c r="D89" i="2"/>
  <c r="B90" i="2"/>
  <c r="C90" i="2"/>
  <c r="D90" i="2"/>
  <c r="B91" i="2"/>
  <c r="C91" i="2"/>
  <c r="D91" i="2"/>
  <c r="B92" i="2"/>
  <c r="C92" i="2"/>
  <c r="D92" i="2"/>
  <c r="B93" i="2"/>
  <c r="C93" i="2"/>
  <c r="D93" i="2"/>
  <c r="B94" i="2"/>
  <c r="C94" i="2"/>
  <c r="D94" i="2"/>
  <c r="B95" i="2"/>
  <c r="C95" i="2"/>
  <c r="D95" i="2"/>
  <c r="B96" i="2"/>
  <c r="C96" i="2"/>
  <c r="D96" i="2"/>
  <c r="B97" i="2"/>
  <c r="C97" i="2"/>
  <c r="D97" i="2"/>
  <c r="B98" i="2"/>
  <c r="C98" i="2"/>
  <c r="D98" i="2"/>
  <c r="B99" i="2"/>
  <c r="C99" i="2"/>
  <c r="D99" i="2"/>
  <c r="B100" i="2"/>
  <c r="C100" i="2"/>
  <c r="D100" i="2"/>
  <c r="B101" i="2"/>
  <c r="C101" i="2"/>
  <c r="D101" i="2"/>
  <c r="B102" i="2"/>
  <c r="C102" i="2"/>
  <c r="D102" i="2"/>
  <c r="B105" i="2"/>
  <c r="C105" i="2"/>
  <c r="D105" i="2"/>
  <c r="B106" i="2"/>
  <c r="C106" i="2"/>
  <c r="D106" i="2"/>
  <c r="B109" i="2"/>
  <c r="C109" i="2"/>
  <c r="D109" i="2"/>
  <c r="B112" i="2"/>
  <c r="C112" i="2"/>
  <c r="D112" i="2"/>
  <c r="B113" i="2"/>
  <c r="C113" i="2"/>
  <c r="D113" i="2"/>
  <c r="B115" i="2"/>
  <c r="C115" i="2"/>
  <c r="D115" i="2"/>
  <c r="B116" i="2"/>
  <c r="C116" i="2"/>
  <c r="D116" i="2"/>
  <c r="B119" i="2"/>
  <c r="C119" i="2"/>
  <c r="D119" i="2"/>
  <c r="B121" i="2"/>
  <c r="C121" i="2"/>
  <c r="D121" i="2"/>
  <c r="B122" i="2"/>
  <c r="C122" i="2"/>
  <c r="D122" i="2"/>
  <c r="B123" i="2"/>
  <c r="C123" i="2"/>
  <c r="D123" i="2"/>
  <c r="B124" i="2"/>
  <c r="C124" i="2"/>
  <c r="D124" i="2"/>
  <c r="B126" i="2"/>
  <c r="C126" i="2"/>
  <c r="D126" i="2"/>
  <c r="B127" i="2"/>
  <c r="C127" i="2"/>
  <c r="D127" i="2"/>
  <c r="B128" i="2"/>
  <c r="C128" i="2"/>
  <c r="D128" i="2"/>
  <c r="B131" i="2"/>
  <c r="C131" i="2"/>
  <c r="D131" i="2"/>
  <c r="B144" i="2"/>
  <c r="C144" i="2"/>
  <c r="D144" i="2"/>
  <c r="B235" i="2"/>
  <c r="C235" i="2"/>
  <c r="D235" i="2"/>
  <c r="B133" i="2"/>
  <c r="C133" i="2"/>
  <c r="D133" i="2"/>
  <c r="B135" i="2"/>
  <c r="C135" i="2"/>
  <c r="D135" i="2"/>
  <c r="B136" i="2"/>
  <c r="C136" i="2"/>
  <c r="D136" i="2"/>
  <c r="B137" i="2"/>
  <c r="C137" i="2"/>
  <c r="D137" i="2"/>
  <c r="B138" i="2"/>
  <c r="C138" i="2"/>
  <c r="D138" i="2"/>
  <c r="B139" i="2"/>
  <c r="C139" i="2"/>
  <c r="D139" i="2"/>
  <c r="B140" i="2"/>
  <c r="C140" i="2"/>
  <c r="D140" i="2"/>
  <c r="B141" i="2"/>
  <c r="C141" i="2"/>
  <c r="D141" i="2"/>
  <c r="B142" i="2"/>
  <c r="C142" i="2"/>
  <c r="D142" i="2"/>
  <c r="B143" i="2"/>
  <c r="C143" i="2"/>
  <c r="D143" i="2"/>
  <c r="B117" i="2"/>
  <c r="C117" i="2"/>
  <c r="D117" i="2"/>
  <c r="B145" i="2"/>
  <c r="C145" i="2"/>
  <c r="D145" i="2"/>
  <c r="B147" i="2"/>
  <c r="C147" i="2"/>
  <c r="D147" i="2"/>
  <c r="B148" i="2"/>
  <c r="C148" i="2"/>
  <c r="D148" i="2"/>
  <c r="B149" i="2"/>
  <c r="C149" i="2"/>
  <c r="D149" i="2"/>
  <c r="B150" i="2"/>
  <c r="C150" i="2"/>
  <c r="D150" i="2"/>
  <c r="B151" i="2"/>
  <c r="C151" i="2"/>
  <c r="D151" i="2"/>
  <c r="B153" i="2"/>
  <c r="C153" i="2"/>
  <c r="D153" i="2"/>
  <c r="B154" i="2"/>
  <c r="C154" i="2"/>
  <c r="D154" i="2"/>
  <c r="B155" i="2"/>
  <c r="C155" i="2"/>
  <c r="D155" i="2"/>
  <c r="B156" i="2"/>
  <c r="C156" i="2"/>
  <c r="D156" i="2"/>
  <c r="B157" i="2"/>
  <c r="C157" i="2"/>
  <c r="D157" i="2"/>
  <c r="B158" i="2"/>
  <c r="C158" i="2"/>
  <c r="D158" i="2"/>
  <c r="B159" i="2"/>
  <c r="C159" i="2"/>
  <c r="D159" i="2"/>
  <c r="B160" i="2"/>
  <c r="C160" i="2"/>
  <c r="D160" i="2"/>
  <c r="B205" i="2"/>
  <c r="C205" i="2"/>
  <c r="D205" i="2"/>
  <c r="B162" i="2"/>
  <c r="C162" i="2"/>
  <c r="D162" i="2"/>
  <c r="B163" i="2"/>
  <c r="C163" i="2"/>
  <c r="D163" i="2"/>
  <c r="B164" i="2"/>
  <c r="C164" i="2"/>
  <c r="D164" i="2"/>
  <c r="B165" i="2"/>
  <c r="C165" i="2"/>
  <c r="D165" i="2"/>
  <c r="B166" i="2"/>
  <c r="C166" i="2"/>
  <c r="D166" i="2"/>
  <c r="B167" i="2"/>
  <c r="C167" i="2"/>
  <c r="D167" i="2"/>
  <c r="B171" i="2"/>
  <c r="C171" i="2"/>
  <c r="D171" i="2"/>
  <c r="B80" i="2"/>
  <c r="C80" i="2"/>
  <c r="D80" i="2"/>
  <c r="B177" i="2"/>
  <c r="C177" i="2"/>
  <c r="D177" i="2"/>
  <c r="B172" i="2"/>
  <c r="C172" i="2"/>
  <c r="D172" i="2"/>
  <c r="B173" i="2"/>
  <c r="C173" i="2"/>
  <c r="D173" i="2"/>
  <c r="B175" i="2"/>
  <c r="C175" i="2"/>
  <c r="D175" i="2"/>
  <c r="B176" i="2"/>
  <c r="C176" i="2"/>
  <c r="D176" i="2"/>
  <c r="B179" i="2"/>
  <c r="C179" i="2"/>
  <c r="D179" i="2"/>
  <c r="B181" i="2"/>
  <c r="C181" i="2"/>
  <c r="D181" i="2"/>
  <c r="B108" i="2"/>
  <c r="C108" i="2"/>
  <c r="D108" i="2"/>
  <c r="B182" i="2"/>
  <c r="C182" i="2"/>
  <c r="D182" i="2"/>
  <c r="B185" i="2"/>
  <c r="C185" i="2"/>
  <c r="D185" i="2"/>
  <c r="B186" i="2"/>
  <c r="C186" i="2"/>
  <c r="D186" i="2"/>
  <c r="B187" i="2"/>
  <c r="C187" i="2"/>
  <c r="D187" i="2"/>
  <c r="B188" i="2"/>
  <c r="C188" i="2"/>
  <c r="D188" i="2"/>
  <c r="B189" i="2"/>
  <c r="C189" i="2"/>
  <c r="D189" i="2"/>
  <c r="B190" i="2"/>
  <c r="C190" i="2"/>
  <c r="D190" i="2"/>
  <c r="B191" i="2"/>
  <c r="C191" i="2"/>
  <c r="D191" i="2"/>
  <c r="B193" i="2"/>
  <c r="C193" i="2"/>
  <c r="D193" i="2"/>
  <c r="B194" i="2"/>
  <c r="C194" i="2"/>
  <c r="D194" i="2"/>
  <c r="B195" i="2"/>
  <c r="C195" i="2"/>
  <c r="D195" i="2"/>
  <c r="B196" i="2"/>
  <c r="C196" i="2"/>
  <c r="D196" i="2"/>
  <c r="B197" i="2"/>
  <c r="C197" i="2"/>
  <c r="D197" i="2"/>
  <c r="B199" i="2"/>
  <c r="C199" i="2"/>
  <c r="D199" i="2"/>
  <c r="B201" i="2"/>
  <c r="C201" i="2"/>
  <c r="D201" i="2"/>
  <c r="B77" i="2"/>
  <c r="C77" i="2"/>
  <c r="D77" i="2"/>
  <c r="B202" i="2"/>
  <c r="C202" i="2"/>
  <c r="D202" i="2"/>
  <c r="B203" i="2"/>
  <c r="C203" i="2"/>
  <c r="D203" i="2"/>
  <c r="B204" i="2"/>
  <c r="C204" i="2"/>
  <c r="D204" i="2"/>
  <c r="B208" i="2"/>
  <c r="C208" i="2"/>
  <c r="D208" i="2"/>
  <c r="B209" i="2"/>
  <c r="C209" i="2"/>
  <c r="D209" i="2"/>
  <c r="B210" i="2"/>
  <c r="C210" i="2"/>
  <c r="D210" i="2"/>
  <c r="B211" i="2"/>
  <c r="C211" i="2"/>
  <c r="D211" i="2"/>
  <c r="B212" i="2"/>
  <c r="C212" i="2"/>
  <c r="D212" i="2"/>
  <c r="B213" i="2"/>
  <c r="C213" i="2"/>
  <c r="D213" i="2"/>
  <c r="B107" i="2"/>
  <c r="C107" i="2"/>
  <c r="D107" i="2"/>
  <c r="B214" i="2"/>
  <c r="C214" i="2"/>
  <c r="D214" i="2"/>
  <c r="B215" i="2"/>
  <c r="C215" i="2"/>
  <c r="D215" i="2"/>
  <c r="B217" i="2"/>
  <c r="C217" i="2"/>
  <c r="D217" i="2"/>
  <c r="B218" i="2"/>
  <c r="C218" i="2"/>
  <c r="D218" i="2"/>
  <c r="B220" i="2"/>
  <c r="C220" i="2"/>
  <c r="D220" i="2"/>
  <c r="B221" i="2"/>
  <c r="C221" i="2"/>
  <c r="D221" i="2"/>
  <c r="B222" i="2"/>
  <c r="C222" i="2"/>
  <c r="D222" i="2"/>
  <c r="B223" i="2"/>
  <c r="C223" i="2"/>
  <c r="D223" i="2"/>
  <c r="B224" i="2"/>
  <c r="C224" i="2"/>
  <c r="D224" i="2"/>
  <c r="B226" i="2"/>
  <c r="C226" i="2"/>
  <c r="D226" i="2"/>
  <c r="B230" i="2"/>
  <c r="C230" i="2"/>
  <c r="D230" i="2"/>
  <c r="B231" i="2"/>
  <c r="C231" i="2"/>
  <c r="D231" i="2"/>
  <c r="B232" i="2"/>
  <c r="C232" i="2"/>
  <c r="D232" i="2"/>
  <c r="B234" i="2"/>
  <c r="C234" i="2"/>
  <c r="D234" i="2"/>
  <c r="B238" i="2"/>
  <c r="C238" i="2"/>
  <c r="D238" i="2"/>
  <c r="B240" i="2"/>
  <c r="C240" i="2"/>
  <c r="D240" i="2"/>
  <c r="B241" i="2"/>
  <c r="C241" i="2"/>
  <c r="D241" i="2"/>
  <c r="B242" i="2"/>
  <c r="C242" i="2"/>
  <c r="D242" i="2"/>
  <c r="B244" i="2"/>
  <c r="C244" i="2"/>
  <c r="D244" i="2"/>
  <c r="B245" i="2"/>
  <c r="C245" i="2"/>
  <c r="D245" i="2"/>
  <c r="B246" i="2"/>
  <c r="C246" i="2"/>
  <c r="D246" i="2"/>
  <c r="B247" i="2"/>
  <c r="C247" i="2"/>
  <c r="D247" i="2"/>
  <c r="B248" i="2"/>
  <c r="C248" i="2"/>
  <c r="D248" i="2"/>
  <c r="B249" i="2"/>
  <c r="C249" i="2"/>
  <c r="D249" i="2"/>
  <c r="B250" i="2"/>
  <c r="C250" i="2"/>
  <c r="D250" i="2"/>
  <c r="B251" i="2"/>
  <c r="C251" i="2"/>
  <c r="D251" i="2"/>
  <c r="B252" i="2"/>
  <c r="C252" i="2"/>
  <c r="D252" i="2"/>
  <c r="B253" i="2"/>
  <c r="C253" i="2"/>
  <c r="D253" i="2"/>
  <c r="B254" i="2"/>
  <c r="C254" i="2"/>
  <c r="D254" i="2"/>
  <c r="B255" i="2"/>
  <c r="C255" i="2"/>
  <c r="D255" i="2"/>
  <c r="B256" i="2"/>
  <c r="C256" i="2"/>
  <c r="D256" i="2"/>
  <c r="B257" i="2"/>
  <c r="C257" i="2"/>
  <c r="D257" i="2"/>
  <c r="B258" i="2"/>
  <c r="C258" i="2"/>
  <c r="D258" i="2"/>
  <c r="B169" i="2"/>
  <c r="C169" i="2"/>
  <c r="D169" i="2"/>
  <c r="B114" i="2"/>
  <c r="C114" i="2"/>
  <c r="D114" i="2"/>
  <c r="B260" i="2"/>
  <c r="C260" i="2"/>
  <c r="D260" i="2"/>
  <c r="B130" i="2"/>
  <c r="C130" i="2"/>
  <c r="D130" i="2"/>
  <c r="B104" i="2"/>
  <c r="C104" i="2"/>
  <c r="D104" i="2"/>
  <c r="B39" i="2"/>
  <c r="C39" i="2"/>
  <c r="D39" i="2"/>
  <c r="B229" i="2"/>
  <c r="C229" i="2"/>
  <c r="D229" i="2"/>
  <c r="B200" i="2"/>
  <c r="C200" i="2"/>
  <c r="D200" i="2"/>
  <c r="B120" i="2"/>
  <c r="C120" i="2"/>
  <c r="D120" i="2"/>
  <c r="B63" i="2"/>
  <c r="C63" i="2"/>
  <c r="D63" i="2"/>
  <c r="B44" i="2"/>
  <c r="C44" i="2"/>
  <c r="D44" i="2"/>
  <c r="B134" i="2"/>
  <c r="C134" i="2"/>
  <c r="D134" i="2"/>
  <c r="B74" i="2"/>
  <c r="C74" i="2"/>
  <c r="D74" i="2"/>
  <c r="B125" i="2"/>
  <c r="C125" i="2"/>
  <c r="D125" i="2"/>
  <c r="B207" i="2"/>
  <c r="C207" i="2"/>
  <c r="D207" i="2"/>
  <c r="B110" i="2"/>
  <c r="C110" i="2"/>
  <c r="D110" i="2"/>
  <c r="B180" i="2"/>
  <c r="C180" i="2"/>
  <c r="D180" i="2"/>
  <c r="B129" i="2"/>
  <c r="C129" i="2"/>
  <c r="D129" i="2"/>
  <c r="B184" i="2"/>
  <c r="C184" i="2"/>
  <c r="D184" i="2"/>
  <c r="B19" i="2"/>
  <c r="C19" i="2"/>
  <c r="D19" i="2"/>
  <c r="B206" i="2"/>
  <c r="C206" i="2"/>
  <c r="D206" i="2"/>
  <c r="B17" i="2"/>
  <c r="C17" i="2"/>
  <c r="D17" i="2"/>
  <c r="B178" i="2"/>
  <c r="C178" i="2"/>
  <c r="D178" i="2"/>
  <c r="B111" i="2"/>
  <c r="C111" i="2"/>
  <c r="D111" i="2"/>
  <c r="B49" i="2"/>
  <c r="C49" i="2"/>
  <c r="D49" i="2"/>
  <c r="B174" i="2"/>
  <c r="C174" i="2"/>
  <c r="D174" i="2"/>
  <c r="B170" i="2"/>
  <c r="C170" i="2"/>
  <c r="D170" i="2"/>
  <c r="B233" i="2"/>
  <c r="C233" i="2"/>
  <c r="D233" i="2"/>
  <c r="B161" i="2"/>
  <c r="C161" i="2"/>
  <c r="D161" i="2"/>
  <c r="B236" i="2"/>
  <c r="C236" i="2"/>
  <c r="D236" i="2"/>
  <c r="B118" i="2"/>
  <c r="C118" i="2"/>
  <c r="D118" i="2"/>
  <c r="B225" i="2"/>
  <c r="C225" i="2"/>
  <c r="D225" i="2"/>
  <c r="B259" i="2"/>
  <c r="C259" i="2"/>
  <c r="D259" i="2"/>
  <c r="B103" i="2"/>
  <c r="C103" i="2"/>
  <c r="D103" i="2"/>
  <c r="B152" i="2"/>
  <c r="C152" i="2"/>
  <c r="D152" i="2"/>
  <c r="B239" i="2"/>
  <c r="C239" i="2"/>
  <c r="D239" i="2"/>
  <c r="B132" i="2"/>
  <c r="C132" i="2"/>
  <c r="D132" i="2"/>
  <c r="B146" i="2"/>
  <c r="C146" i="2"/>
  <c r="D146" i="2"/>
  <c r="B243" i="2"/>
  <c r="C243" i="2"/>
  <c r="D243" i="2"/>
  <c r="B216" i="2"/>
  <c r="C216" i="2"/>
  <c r="D216" i="2"/>
  <c r="B228" i="2"/>
  <c r="C228" i="2"/>
  <c r="D228" i="2"/>
  <c r="B168" i="2"/>
  <c r="C168" i="2"/>
  <c r="D168" i="2"/>
  <c r="B198" i="2"/>
  <c r="C198" i="2"/>
  <c r="D198" i="2"/>
  <c r="B237" i="2"/>
  <c r="C237" i="2"/>
  <c r="D237" i="2"/>
  <c r="B192" i="2"/>
  <c r="C192" i="2"/>
  <c r="D192" i="2"/>
  <c r="B183" i="2"/>
  <c r="C183" i="2"/>
  <c r="D183" i="2"/>
  <c r="B227" i="2"/>
  <c r="C227" i="2"/>
  <c r="D227" i="2"/>
  <c r="B31" i="2"/>
  <c r="C31" i="2"/>
  <c r="D31" i="2"/>
  <c r="B79" i="2"/>
  <c r="C79" i="2"/>
  <c r="D79" i="2"/>
  <c r="D2" i="2"/>
  <c r="C2" i="2"/>
  <c r="B2" i="2"/>
</calcChain>
</file>

<file path=xl/sharedStrings.xml><?xml version="1.0" encoding="utf-8"?>
<sst xmlns="http://schemas.openxmlformats.org/spreadsheetml/2006/main" count="2632" uniqueCount="1225">
  <si>
    <t>db_id</t>
  </si>
  <si>
    <t>db_title</t>
  </si>
  <si>
    <t>db_alt_title</t>
  </si>
  <si>
    <t>db_url</t>
  </si>
  <si>
    <t>db_type</t>
  </si>
  <si>
    <t>db_display</t>
  </si>
  <si>
    <t>db_most_used</t>
  </si>
  <si>
    <t>db_provider</t>
  </si>
  <si>
    <t>db_iit_only</t>
  </si>
  <si>
    <t>db_access_note</t>
  </si>
  <si>
    <t>db_openurl</t>
  </si>
  <si>
    <t>db_indexes</t>
  </si>
  <si>
    <t>db_indexed_by</t>
  </si>
  <si>
    <t>db_desc_short</t>
  </si>
  <si>
    <t>db_desc</t>
  </si>
  <si>
    <t>db_tutorial_url</t>
  </si>
  <si>
    <t>db_update_freq</t>
  </si>
  <si>
    <t>AAPT</t>
  </si>
  <si>
    <t>American Association of Physics Teachers</t>
  </si>
  <si>
    <t>http://ojps.aip.org/vsearch/servlet/VerityServlet?KEY=ALL</t>
  </si>
  <si>
    <t>ejournal</t>
  </si>
  <si>
    <t>Scitation</t>
  </si>
  <si>
    <t>Access journals published by the AAPT in the field of physics.</t>
  </si>
  <si>
    <t>Access journals published by the American Association of Physics Teachers in the field of physics.</t>
  </si>
  <si>
    <t>NULL</t>
  </si>
  <si>
    <t>Academic Search Premier</t>
  </si>
  <si>
    <t>http://search.EBSCOhost.com/login.asp?profile=web&amp;defaultdb=aph</t>
  </si>
  <si>
    <t>ai</t>
  </si>
  <si>
    <t>EBSCOhost</t>
  </si>
  <si>
    <t>One of the largest full-text databases of scholarly information. A good place to start searching for journal articles on almost any topic.</t>
  </si>
  <si>
    <t>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t>
  </si>
  <si>
    <t>ACM Digital Library</t>
  </si>
  <si>
    <t>Association for Computing Machinery</t>
  </si>
  <si>
    <t>http://portal.acm.org/dl.cfm</t>
  </si>
  <si>
    <t>ACM Portal</t>
  </si>
  <si>
    <t>Online repository of papers and publications from the ACM, covering all aspects of computing.</t>
  </si>
  <si>
    <t>The Association for Computing Machinery Digital Library is an online repository of papers from publications that have been published, co-published, or co-marketed by the ACM, including journals, newsletters, and conference proceedings. All computing subject areas are covered.</t>
  </si>
  <si>
    <t>Acronym Finder</t>
  </si>
  <si>
    <t>http://www.acronymfinder.com/</t>
  </si>
  <si>
    <t>reference</t>
  </si>
  <si>
    <t>Online dictionary of acronyms, abbreviations, and initialisms.</t>
  </si>
  <si>
    <t>With more than 600,000 human-edited definitions, Acronym Finder is the world's largest and most comprehensive dictionary of acronyms, abbreviations, and initialisms.</t>
  </si>
  <si>
    <t>ACS</t>
  </si>
  <si>
    <t>American Chemical Society</t>
  </si>
  <si>
    <t>http://pubs.acs.org/wls/journals/query/subscriberSearch.html</t>
  </si>
  <si>
    <t>ACS Publications</t>
  </si>
  <si>
    <t>Journals published by the American Chemical Society.</t>
  </si>
  <si>
    <t xml:space="preserve">Online repository of peer-reviewed research journals published by the American Chemical Society, covering all aspects of chemistry and chemical sciences. </t>
  </si>
  <si>
    <t>ADAMS</t>
  </si>
  <si>
    <t>Agencywide Documents Access and Management System</t>
  </si>
  <si>
    <t>http://www.nrc.gov/reading-rm/adams/web-based.html</t>
  </si>
  <si>
    <t>United States Nuclear Regulatory Commission</t>
  </si>
  <si>
    <t>Reports and documents from the Nuclear Regulatory Commission (NRC).</t>
  </si>
  <si>
    <t>Reports and documents from the U.S. Nuclear Regulatory Commission (NRC). ADAMS documents are provided in either Adobe Portable Document Format (PDF) or Tagged Image File Format (TIFF).</t>
  </si>
  <si>
    <t>http://www.nrc.gov/reading-rm/adams/web-based-help.pdf</t>
  </si>
  <si>
    <t>Advanced Polymers Abstracts</t>
  </si>
  <si>
    <t>http://www.csa.com/htbin/dbrng.cgi?username=paulg&amp;access=paulg20&amp;db=ema-polymers-set-c</t>
  </si>
  <si>
    <t>CSA Illumina</t>
  </si>
  <si>
    <t>Engineered Materials Abstracts, CSA Materials Research Database with METADEX, CSA Technology Research Database</t>
  </si>
  <si>
    <t>Properties of thermoset and thermoplastic resins.</t>
  </si>
  <si>
    <t>Aerospace &amp;amp; High Technology Database</t>
  </si>
  <si>
    <t>http://www.csa.com/htbin/dbrng.cgi?username=paulg&amp;access=paulg20&amp;db=aerospace-set-c</t>
  </si>
  <si>
    <t>CSA High Technology Research Database with Aerospace, CSA Technology Research Database</t>
  </si>
  <si>
    <t>Covers applied research and technology development in aeronautics, astronautics, space sciences and related fields.</t>
  </si>
  <si>
    <t>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t>
  </si>
  <si>
    <t>AISC freePubs</t>
  </si>
  <si>
    <t>American Institute of Steel Construction</t>
  </si>
  <si>
    <t>http://www.aisc.org/content.aspx?id=2882</t>
  </si>
  <si>
    <t>Provides many free publications of the AISC, including specifications, codes, siesmic resources, and revisions to AISC publications.</t>
  </si>
  <si>
    <t>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t>
  </si>
  <si>
    <t>Algology Mycology and Protozoology Abstracts (Microbiology C)</t>
  </si>
  <si>
    <t>http://www.csa.com/htbin/dbrng.cgi?username=paulg&amp;access=paulg20&amp;db=http://www.csa.com/htbin/dbrng.cgi?username=paulg&amp;access=paulg20&amp;db=microbiology-c-set-c</t>
  </si>
  <si>
    <t>CSA</t>
  </si>
  <si>
    <t>Covers research on reproduction, growth, life cycles, biochemistry, and genetics.</t>
  </si>
  <si>
    <t>Biological Sciences</t>
  </si>
  <si>
    <t>Research on algae, fungi, protozoa, and lichens.</t>
  </si>
  <si>
    <t>Aluminium Industry Abstracts</t>
  </si>
  <si>
    <t>http://www.csa.com/htbin/dbrng.cgi?username=paulg&amp;access=paulg20&amp;db=aia-set-c</t>
  </si>
  <si>
    <t>CSA Materials Research Database with METADEX, CSA Technology Research Database</t>
  </si>
  <si>
    <t>Covers technical literature on aluminum, production processes, products, applications, and business developments.</t>
  </si>
  <si>
    <t>American Institute of Physics</t>
  </si>
  <si>
    <t>Journals published by the American Institute of Physics.</t>
  </si>
  <si>
    <t>Journals published by the American Institute of Physics. A pioneer in digital publishing, AIP is also one of the world's largest publishers of physics journals and produces the publications of more than 25 scientific and engineering societies.</t>
  </si>
  <si>
    <t>American Physical Society</t>
  </si>
  <si>
    <t>http://publish.aps.org/</t>
  </si>
  <si>
    <t>Journals published by the American Physical Society.</t>
  </si>
  <si>
    <t>Animal Behavior Abstracts</t>
  </si>
  <si>
    <t>http://www.csa.com/htbin/dbrng.cgi?username=paulg&amp;access=paulg20&amp;db=animal-behavior-set-c</t>
  </si>
  <si>
    <t>Database of published research on animal behavior, covering such topics as neurophysiology, behavioral ecology, genetics, and applied ethology.</t>
  </si>
  <si>
    <t>ANTE</t>
  </si>
  <si>
    <t>Abstracts in New Technologies and Engineering</t>
  </si>
  <si>
    <t>http://www.csa.com/htbin/dbrng.cgi?username=paulg&amp;access=paulg20&amp;db=ante-set-c</t>
  </si>
  <si>
    <t>CSA Engineering Research Database, CSA Technology Research Database</t>
  </si>
  <si>
    <t>Covers developments in information technology and computing, electronics, biotechnology, medical technology, and engineering.</t>
  </si>
  <si>
    <t>Article First</t>
  </si>
  <si>
    <t>http://newfirstsearch.oclc.org/dbname=ArticleFirst;FSIP</t>
  </si>
  <si>
    <t>OCLC FirstSearch</t>
  </si>
  <si>
    <t>Interdisciplinary database covering journal literature in all subject areas.</t>
  </si>
  <si>
    <t>Coverage of over 16,000 journal titles related to business, science, humanities, social sciences, medicine, technology, and popular culture.</t>
  </si>
  <si>
    <t>arXiv.org</t>
  </si>
  <si>
    <t>http://arxiv.org/</t>
  </si>
  <si>
    <t>Cornell University Library</t>
  </si>
  <si>
    <t>E-prints in mathematics, statistics, physics, quantitative biology, statistics, and computer science.</t>
  </si>
  <si>
    <t>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t>
  </si>
  <si>
    <t>ASCE Database</t>
  </si>
  <si>
    <t>American Society of Civil Engineers</t>
  </si>
  <si>
    <t>http://ascelibrary.org</t>
  </si>
  <si>
    <t>Journals and articles published by the ASCE.</t>
  </si>
  <si>
    <t>Search for journal articles published by the ASCE from 1990 through the present.</t>
  </si>
  <si>
    <t>ASFA 1: Biological Sciences and Living Resources</t>
  </si>
  <si>
    <t>http://www.csa.com/htbin/dbrng.cgi?username=paulg&amp;access=paulg20&amp;db=asfa1-set-c</t>
  </si>
  <si>
    <t>Coverage of basic and applied research on aquatic organisms, aquaculture, and fisheries.</t>
  </si>
  <si>
    <t>ASFA 3: Aquatic Pollution and Environmental Quality</t>
  </si>
  <si>
    <t>http://www.csa.com/htbin/dbrng.cgi?username=paulg&amp;access=paulg20&amp;db=asfa3-set-c</t>
  </si>
  <si>
    <t>Environmental Sciences and Pollution Mgmt</t>
  </si>
  <si>
    <t>Research and policy on the contamination of oceans, seas, lakes, rivers, and estuaries.</t>
  </si>
  <si>
    <t>ASFA Aquaculture Abstracts</t>
  </si>
  <si>
    <t>http://www.csa.com/htbin/dbrng.cgi?username=paulg&amp;access=paulg20&amp;db=aquaculture-set-c</t>
  </si>
  <si>
    <t>Database of research on marine and freshwater aquaculture.</t>
  </si>
  <si>
    <t>ASFA Marine Biotechnology Abstracts</t>
  </si>
  <si>
    <t>http://www.csa.com/htbin/dbrng.cgi?username=paulg&amp;access=paulg20&amp;db=marine-set-c</t>
  </si>
  <si>
    <t>Database of research on marine biotechnology, molecular biology, and molecular genetics as applied to marine and aquatic organisms.</t>
  </si>
  <si>
    <t>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t>
  </si>
  <si>
    <t>ASM Materials Information - Handbooks</t>
  </si>
  <si>
    <t>http://products.asminternational.org/hbk/index.jsp</t>
  </si>
  <si>
    <t>ASM International</t>
  </si>
  <si>
    <t>Online edition of the ASM Handbook, 10th edition (aka Metals Handbook).</t>
  </si>
  <si>
    <t>The online edition of the ASM Handbook, 10th edition (aka Metals Handbook). This 21 volume reference collection covers the spectrum of ferrous and non-ferrous alloys, from general properties to testing, evaluation, and manufacturing techniques.</t>
  </si>
  <si>
    <t>ASM Materials Information - Alloy Center</t>
  </si>
  <si>
    <t>http://products.asminternational.org/alloycenter/index.jsp</t>
  </si>
  <si>
    <t>Property data, performance charts, diagrams, and processing guidelines for specific metals and alloys.</t>
  </si>
  <si>
    <t>The ASM Alloy Center enables you to search in one easy step across ASM property data, performance charts, diagrams, and processing guidelines for specific metals and alloys.</t>
  </si>
  <si>
    <t>ASME</t>
  </si>
  <si>
    <t>American Society of Mechanical Engineers</t>
  </si>
  <si>
    <t>http://asmedigitalcollection.asme.org/</t>
  </si>
  <si>
    <t>Journals published by the ASME.</t>
  </si>
  <si>
    <t>Journals published by the American Society of Mechanical Engineers.</t>
  </si>
  <si>
    <t>Avery Index to Architectural Periodicals</t>
  </si>
  <si>
    <t>http://search.proquest.com.ezproxy.gl.iit.edu/avery/advanced</t>
  </si>
  <si>
    <t>ProQuest</t>
  </si>
  <si>
    <t>Comprehensive database of literature on architecture and design.</t>
  </si>
  <si>
    <t>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t>
  </si>
  <si>
    <t>Bacteriology Abstracts (Microbiology B)</t>
  </si>
  <si>
    <t>http://www.csa.com/htbin/dbrng.cgi?username=paulg&amp;access=paulg20&amp;db=bacteriology-set-c</t>
  </si>
  <si>
    <t>Biological Sciences, Environmental Sciences and Pollution Mgmt</t>
  </si>
  <si>
    <t>Covers bacterial immunology, vaccinations, and aspects of pure bacteriology, biochemistry, and genetics.</t>
  </si>
  <si>
    <t>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t>
  </si>
  <si>
    <t>Simmons Choices</t>
  </si>
  <si>
    <t>#</t>
  </si>
  <si>
    <t>Simmons</t>
  </si>
  <si>
    <t>This resource is only available on laptops available for checkout at the Circulation Desk on the Lower Level of the Galvin Library.</t>
  </si>
  <si>
    <t>Consumer research tool with detailed demographic and psychographic information.</t>
  </si>
  <si>
    <t>Choices is a powerful tool for market research that allows you to profile the demographics and psychographics of product users, as well as track their media consumption habits.</t>
  </si>
  <si>
    <t>Biological Abstracts</t>
  </si>
  <si>
    <t>http://apps.webofknowledge.com/BIOABS_GeneralSearch_input.do?product=BIOABS&amp;search_mode=GeneralSearch</t>
  </si>
  <si>
    <t>Bibliographic references covering life science and biomedical research literature.</t>
  </si>
  <si>
    <t>http://www.csa.com/htbin/dbrng.cgi?username=paulg&amp;access=paulg20&amp;db=biolclust-set-c</t>
  </si>
  <si>
    <t>Algology Mycology and Protozoology Abstracts (Microbiology C), Animal Behavior Abstracts, ASFA 1: Biological Sciences and Living Resources, ASFA Aquaculture Abstracts, ASFA Marine Biotechnology Abstracts, Bacteriology Abstracts (Microbiology B), Biotechnology Research Abstracts, Calcium and Calcified Tissue Abstracts, Ecology Abstracts, Endocrinology Abstracts, Entomology Abstracts, Genetics Abstracts, Health and Safety Science Abstracts, Human Genome Abstracts, Immunology Abstracts, Industrial and Applied Microbiology Abstracts (Microbiology A), Nucleic Acids Abstracts, Oncogenes and Growth Factors Abstracts, Toxicology Abstracts, Virology and AIDS Abstracts</t>
  </si>
  <si>
    <t>Abstracts and citations to a wide range of research in biomedicine, biotechnology, zoology, ecology, agriculture, and veterinary science.</t>
  </si>
  <si>
    <t>Biology Digest</t>
  </si>
  <si>
    <t>http://www.csa.com/htbin/dbrng.cgi?username=paulg&amp;access=paulg20&amp;db=biodig-set-c</t>
  </si>
  <si>
    <t>Abstracts and indexes of domestic and international literature in the area of life sciences.</t>
  </si>
  <si>
    <t>Biotechnology Research Abstracts</t>
  </si>
  <si>
    <t>http://www.csa.com/htbin/dbrng.cgi?username=paulg&amp;access=paulg20&amp;db=biotechnology-archival-set-c</t>
  </si>
  <si>
    <t>Biological Sciences, Environmental and Pollution Mgmt</t>
  </si>
  <si>
    <t>Covers all aspects of biochemical, medical, and microbial technology as applied to bioengineering, medicine, agriculture and environmental science.</t>
  </si>
  <si>
    <t>Blackwell Synergy</t>
  </si>
  <si>
    <t>http://www.blackwell-synergy.com</t>
  </si>
  <si>
    <t>Journals published by Blackwell are now only accessible through Wiley InterScience.</t>
  </si>
  <si>
    <t>Journals published by Blackwell Synergy.</t>
  </si>
  <si>
    <t>Books 24x7</t>
  </si>
  <si>
    <t>http://library.books24x7.com/library.asp?^B</t>
  </si>
  <si>
    <t>ebook</t>
  </si>
  <si>
    <t>E-books covering computer science and information technology.</t>
  </si>
  <si>
    <t>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t>
  </si>
  <si>
    <t>Business Insights</t>
  </si>
  <si>
    <t>http://www.globalbusinessinsights.com/autologin.asp</t>
  </si>
  <si>
    <t>Access market reports and analysis.</t>
  </si>
  <si>
    <t>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t>
  </si>
  <si>
    <t>Business Source Premier</t>
  </si>
  <si>
    <t>http://search.EBSCOhost.com/login.asp?profile=web&amp;defaultdb=buh</t>
  </si>
  <si>
    <t>This database covers all disciplines of business, including marketing, management, MIS, POM, accounting, finance and economics.</t>
  </si>
  <si>
    <t>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t>
  </si>
  <si>
    <t>Calcium and Calcified Tissue Abstracts</t>
  </si>
  <si>
    <t>http://www.csa.com/htbin/dbrng.cgi?username=paulg&amp;access=paulg20&amp;db=calcified-tissue-set-c</t>
  </si>
  <si>
    <t>Abstracts and citations on calcium research.</t>
  </si>
  <si>
    <t>Cambridge Journals Online</t>
  </si>
  <si>
    <t>http://journals.cambridge.org/action/advanceSearch</t>
  </si>
  <si>
    <t>Cambridge University Press</t>
  </si>
  <si>
    <t>Journals published by Cambridge University Press.</t>
  </si>
  <si>
    <t>CARLI Digital Collections</t>
  </si>
  <si>
    <t>http://collections.carli.illinois.edu/</t>
  </si>
  <si>
    <t>digital</t>
  </si>
  <si>
    <t>Consortium of Academic &amp; Research Libraries of Illinois</t>
  </si>
  <si>
    <t>Digital collections covering art, photography, and Illinois history.</t>
  </si>
  <si>
    <t>Digital collections created by member libraries of the Consortium of Academic and Research libraries of Illinois (CARLI). Subjects mostly include art, photography, and Illinois history.</t>
  </si>
  <si>
    <t>Ceramic Abstracts/World Ceramics Abstracts</t>
  </si>
  <si>
    <t>http://www.csa.com/htbin/dbrng.cgi?username=paulg&amp;access=paulg20&amp;db=wca-set-c</t>
  </si>
  <si>
    <t>Coverage of journal literature on the manufacture, processing, applications, properties and testing of traditional and advanced ceramics.</t>
  </si>
  <si>
    <t>CERN Document Server</t>
  </si>
  <si>
    <t>http://cdsweb.cern.ch/</t>
  </si>
  <si>
    <t>CERN - European Organization for Nuclear Research</t>
  </si>
  <si>
    <t>Preprints, articles, books, journals, and photographs on particle physics and related subjects.</t>
  </si>
  <si>
    <t>Over 800,000 bibliographic records, including 360,000 full-text documents,of interest to people working in particle physics and related areas. Covers preprints, articles, books, journals, photographs, and much more.</t>
  </si>
  <si>
    <t>Chemoreception Abstracts</t>
  </si>
  <si>
    <t>http://www.csa.com/htbin/dbrng.cgi?username=paulg&amp;access=paulg20&amp;db=chemoreception-set-c</t>
  </si>
  <si>
    <t>Biology and sensory studies of taste, smell, and pheromones.</t>
  </si>
  <si>
    <t>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t>
  </si>
  <si>
    <t>CIA World Factbook</t>
  </si>
  <si>
    <t>https://www.cia.gov/library/publications/the-world-factbook/index.html</t>
  </si>
  <si>
    <t>Central Intelligence Agency</t>
  </si>
  <si>
    <t>Country information: maps, history, economics, society, etc.</t>
  </si>
  <si>
    <t>Online reference source containing basic country information, including maps, history, economics, and social studies.</t>
  </si>
  <si>
    <t>CiteSeer</t>
  </si>
  <si>
    <t>http://citeseer.ist.psu.edu</t>
  </si>
  <si>
    <t>PSU College of Information Sciences and Technology</t>
  </si>
  <si>
    <t>A digital library focusing on computer and information science.</t>
  </si>
  <si>
    <t>CiteSeer is a scientific literature digital library focusing on computer and information science. CiteSeer provides citation indexing for each article, which allows you to see (a) all the references cited by the article, and (b) what other articles have cited the article.</t>
  </si>
  <si>
    <t>ClasePeriodica</t>
  </si>
  <si>
    <t>http://firstsearch.oclc.org/fsip?dbname=ClasePeriodica</t>
  </si>
  <si>
    <t>Index of Latin American journals in the sciences and humanities.</t>
  </si>
  <si>
    <t>CIAO</t>
  </si>
  <si>
    <t>Columbia International Affairs Online</t>
  </si>
  <si>
    <t>http://www.ciaonet.org/</t>
  </si>
  <si>
    <t>Publications on theory and research in international affairs.</t>
  </si>
  <si>
    <t>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t>
  </si>
  <si>
    <t>Communication and Mass Media Complete</t>
  </si>
  <si>
    <t>http://search.EBSCOhost.com/login.asp?profile=web&amp;defaultdb=ufh</t>
  </si>
  <si>
    <t>Index of research in areas related to communication and mass media.</t>
  </si>
  <si>
    <t>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t>
  </si>
  <si>
    <t>Compendex</t>
  </si>
  <si>
    <t>http://library.iit.edu/databases/compendex.php</t>
  </si>
  <si>
    <t>Engineering Information Inc.</t>
  </si>
  <si>
    <t>Comprehensive bibliographic database of worldwide engineering literature.</t>
  </si>
  <si>
    <t>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t>
  </si>
  <si>
    <t>Composites Industry Abstracts</t>
  </si>
  <si>
    <t>http://www.csa.com/htbin/dbrng.cgi?username=paulg&amp;access=paulg20&amp;db=ema-composites-set-c</t>
  </si>
  <si>
    <t>Covers research on polymers and ceramics reinforced with fibers, honeycombs, whiskers and laminates.</t>
  </si>
  <si>
    <t>Computer and Information Systems Abstracts</t>
  </si>
  <si>
    <t>http://www.csa.com/htbin/dbrng.cgi?username=paulg&amp;access=paulg20&amp;db=computer-set-c</t>
  </si>
  <si>
    <t>Index of academic literature related to computer and information science from 1981-present.</t>
  </si>
  <si>
    <t>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t>
  </si>
  <si>
    <t>CoRR</t>
  </si>
  <si>
    <t>Computing Research Repsoitory</t>
  </si>
  <si>
    <t>http://arxiv.org/corr/home</t>
  </si>
  <si>
    <t>Cornell University</t>
  </si>
  <si>
    <t>Online e-print repository of research papers and reports in computer science.</t>
  </si>
  <si>
    <t>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t>
  </si>
  <si>
    <t>Conference Papers Index</t>
  </si>
  <si>
    <t>http://www.csa.com/htbin/dbrng.cgi?username=paulg&amp;access=paulg20&amp;db=cpi-set-c</t>
  </si>
  <si>
    <t>Citations to papers and poster sessions presented at conferences related to life sciences, environmental sciences, and aquatic sciences.</t>
  </si>
  <si>
    <t>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t>
  </si>
  <si>
    <t>Contrails</t>
  </si>
  <si>
    <t>http://contrails.iit.edu/</t>
  </si>
  <si>
    <t>Paul V. Galvin Library</t>
  </si>
  <si>
    <t>Digital collection of U.S. Air Force technical reports and other documents related to the history of modern aviation.</t>
  </si>
  <si>
    <t>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t>
  </si>
  <si>
    <t>Copper Data Center Database</t>
  </si>
  <si>
    <t>http://www.csa.com/htbin/dbrng.cgi?username=paulg&amp;access=paulg20&amp;db=copper-set-c</t>
  </si>
  <si>
    <t>Database of scientific literature on copper, copper alloys and copper technology since 1965.</t>
  </si>
  <si>
    <t>Corrosion Abstracts</t>
  </si>
  <si>
    <t>http://www.csa.com/htbin/dbrng.cgi?username=paulg&amp;access=paulg20&amp;db=corrosion-set-c</t>
  </si>
  <si>
    <t>Abstracts of academic literature on corrosion science and egineering.</t>
  </si>
  <si>
    <t>Country Studies</t>
  </si>
  <si>
    <t>http://memory.loc.gov/frd/cs/cshome.html</t>
  </si>
  <si>
    <t>Library of Congress</t>
  </si>
  <si>
    <t>Description and analysis of the social, economic, and political systems and institutions of the world's countries.</t>
  </si>
  <si>
    <t>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t>
  </si>
  <si>
    <t>Cambridge Scientific Abstracts</t>
  </si>
  <si>
    <t>http://www.csa.com/htbin/dbrng.cgi?username=paulg&amp;access=paulg20&amp;cat=default&amp;adv=1</t>
  </si>
  <si>
    <t>Home page for the CSA Illumina search platform. Users can choose from over 50 research indexes to search.</t>
  </si>
  <si>
    <t>Home page for the CSA Illumina search platform. Users can choose from over 50 research indexes to search. CSA databases cover engineering, physical and life sciences, social science, and technology.</t>
  </si>
  <si>
    <t>CSA / ASCE Civil Engineering Abstracts</t>
  </si>
  <si>
    <t>http://www.csa.com/htbin/dbrng.cgi?username=paulg&amp;access=paulg20&amp;db=civil-set-c</t>
  </si>
  <si>
    <t>Provides citations, abstracts, and indexing of the serials literature in civil engineering and related fields.</t>
  </si>
  <si>
    <t>CSA Engineering Research Database</t>
  </si>
  <si>
    <t>http://www.csa.com/htbin/dbrng.cgi?username=paulg&amp;access=paulg20&amp;db=engineering-set-c</t>
  </si>
  <si>
    <t>ANTE: Abstracts in New Technologies and Engineering, CSA / ASCE Civil Engineering Abstracts, Earthquake Engineering Abstracts, Environmental Engineering Abstracts, Mechanical &amp; Transportation Engineering Abstracts</t>
  </si>
  <si>
    <t>CSA Technology Research Database</t>
  </si>
  <si>
    <t>This database covers the international literature on civil, earthquake, environmental, mechanical, and transportation engineering.</t>
  </si>
  <si>
    <t>CSA High Technology Research Database with Aerospace</t>
  </si>
  <si>
    <t>http://www.csa.com/htbin/dbrng.cgi?username=paulg&amp;access=paulg20&amp;db=hightech-set-c</t>
  </si>
  <si>
    <t>Aerospace &amp; High Technology Database, Computer and Information Systems Abstracts, Electronics and Communications Abstracts, Solid State and Superconductivity Abstracts</t>
  </si>
  <si>
    <t>Comprehensive coverage of research, technologies, and applications in the fields of aeronautics, astronautics, information technology, electronics, communications, solid state materials/devices, and space sciences.</t>
  </si>
  <si>
    <t>CSA Materials Research Database with METADEX</t>
  </si>
  <si>
    <t>http://www.csa.com/htbin/dbrng.cgi?username=paulg&amp;access=paulg20&amp;db=materials-set-c</t>
  </si>
  <si>
    <t>Advanced Polymers Abstracts, Aluminium Industry Abstracts, Ceramic Abstracts/World Ceramics Abstracts, Composites Industry Abstracts, Copper Data Center Database, Corrosion Abstracts, Engineered Materials Abstracts, Engineered Materials Abstracts, Ceramics, Materials Business File, METADEX, WELDASEARCH</t>
  </si>
  <si>
    <t>Offers simultaneous searching of many leading materials science databases, with specialist content on materials science, metallurgy, ceramics, polymers, and composites used in engineering.</t>
  </si>
  <si>
    <t>CSA Neurosciences Abstracts</t>
  </si>
  <si>
    <t>http://www.csa.com/htbin/dbrng.cgi?username=paulg&amp;access=paulg20&amp;db=neurosciences-set-c</t>
  </si>
  <si>
    <t>Covers all aspects of vertebrate and invertebrate neuroscience.</t>
  </si>
  <si>
    <t>This database covers all aspects of vertebrate and invertebrate neuroscience.</t>
  </si>
  <si>
    <t>http://www.csa.com/htbin/dbrng.cgi?username=paulg&amp;amp;access=paulg20&amp;amp;db=techresearch-set-c</t>
  </si>
  <si>
    <t>Advanced Polymers Abstracts, Aerospace &amp; High Technology Database, Aluminium Industry Abstracts, ANTE: Abstracts in New Technologies and Engineering, Ceramic Abstracts/World Ceramics Abstracts, Composites Industry Abstracts, Computer and Information Systems Abstracts, Copper Data Center Database, Corrosion Abstracts, CSA Engineering Research Database, CSA High Technology Research Database with Aerospace, CSA Materials Research Database with METADEX, CSA / ASCE Civil Engineering Abstracts, Earthquake Engineering Abstracts, Electronics and Communications Abstracts, Engineered Materials Abstracts, Engineered Materials Abstracts, Ceramics, Environmental Engineering Abstracts, Materials Business File, Mechanical &amp; Transportation Engineering Abstracts, METADEX, Solid State and Superconductivity Abstracts, WELDASEARCH</t>
  </si>
  <si>
    <t>Comprehensive &amp;#252;ber-database covering all aspects of technology, engineering, materials science, and electronics.</t>
  </si>
  <si>
    <t>CumInCAD</t>
  </si>
  <si>
    <t>http://cumincad.scix.net</t>
  </si>
  <si>
    <t>SciX Open Publishing Services</t>
  </si>
  <si>
    <t>You must create a personal account to access full text</t>
  </si>
  <si>
    <t>Index of publications on computer-aided architectural design.</t>
  </si>
  <si>
    <t>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t>
  </si>
  <si>
    <t>DARTS</t>
  </si>
  <si>
    <t>Depository Access to Reports, Technical and Scientific</t>
  </si>
  <si>
    <t>http://www.gl.iit.edu/govdocs/internet/darts.htm</t>
  </si>
  <si>
    <t>National Technical Information Service</t>
  </si>
  <si>
    <t>Available only at the Galvin Library.  Please see a librarian at the Reference Desk for username and password.</t>
  </si>
  <si>
    <t>Provides access to government-produced technical information.</t>
  </si>
  <si>
    <t>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t>
  </si>
  <si>
    <t>Dissertations and Theses</t>
  </si>
  <si>
    <t>http://search.proquest.com/pqdtft</t>
  </si>
  <si>
    <t>Proquest</t>
  </si>
  <si>
    <t>Online database of doctoral dissertations.</t>
  </si>
  <si>
    <t>Online database of doctoral dissertations and master's theses. Full-text is available for many items, and ordering/purchasing information is included for those items with no full-text.</t>
  </si>
  <si>
    <t>Dissertations and Theses at IIT</t>
  </si>
  <si>
    <t>http://search.proquest.com/pqdtlocal</t>
  </si>
  <si>
    <t>Online database of IIT students' doctoral dissertations.</t>
  </si>
  <si>
    <t>Subset of Dissertations and Theses, an online database of doctoral dissertations, featuring work by IIT students. Full-text is available for many items, and ordering/purchasing information is included for those items with no full-text.</t>
  </si>
  <si>
    <t>Bizminer</t>
  </si>
  <si>
    <t>http://www.bizminer.com/</t>
  </si>
  <si>
    <t>the Brandow Company, Inc.</t>
  </si>
  <si>
    <t>BizMiner produces granular industry statistical reports for over 5,000 lines of business and industry market trends.</t>
  </si>
  <si>
    <t>BizMiner produces granular industry statistical reports for over 5,000 lines of business and industry market trends. Used for establishing fair prices for business sales, creating business plans, and finding new markets.</t>
  </si>
  <si>
    <t>Earthquake Engineering Abstracts</t>
  </si>
  <si>
    <t>http://www.csa.com/htbin/dbrng.cgi?username=paulg&amp;access=paulg20&amp;db=earthquake-set-c</t>
  </si>
  <si>
    <t>Indexes journal literature related to earthquake engineering.</t>
  </si>
  <si>
    <t>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t>
  </si>
  <si>
    <t>ECO</t>
  </si>
  <si>
    <t>Electronic Collections Online</t>
  </si>
  <si>
    <t>http://newfirstsearch.oclc.org/dbname=ECO;FSIP</t>
  </si>
  <si>
    <t>Online collection of scholarly journals</t>
  </si>
  <si>
    <t>An OCLC collection of scholarly journals.</t>
  </si>
  <si>
    <t>Ecology Abstracts</t>
  </si>
  <si>
    <t>http://www.csa.com/htbin/dbrng.cgi?username=paulg&amp;access=paulg20&amp;db=ecology-set-c</t>
  </si>
  <si>
    <t>Database of current ecology research.</t>
  </si>
  <si>
    <t>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t>
  </si>
  <si>
    <t>EconLit</t>
  </si>
  <si>
    <t>http://search.EBSCOhost.com/login.asp?profile=web&amp;defaultdb=ecn</t>
  </si>
  <si>
    <t>Covers all fields of economics, including capital markets, country studies, econometrics, economic forecasting, government regulations and monetary theory.</t>
  </si>
  <si>
    <t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t>
  </si>
  <si>
    <t>Eighteenth Century Collections Online</t>
  </si>
  <si>
    <t>http://find.galegroup.com/menu/start?userGroupName=chic40381&amp;prod=ECCO</t>
  </si>
  <si>
    <t>InfoTrac</t>
  </si>
  <si>
    <t>Online collection of books published during the 18th century.</t>
  </si>
  <si>
    <t>Online collection of 150,000 books published during the 18th century, covering the fields of history, literature, religion, law, fine arts, science and more.</t>
  </si>
  <si>
    <t>EIS</t>
  </si>
  <si>
    <t>Digests of Environmental Impact Statements</t>
  </si>
  <si>
    <t>http://www.csa.com/htbin/dbrng.cgi?username=paulg&amp;access=paulg20&amp;db=eis-set-c</t>
  </si>
  <si>
    <t>Abstracts of environmental impact statements issued by the federal government.</t>
  </si>
  <si>
    <t>Electronics and Communications Abstracts</t>
  </si>
  <si>
    <t>http://www.csa.com/htbin/dbrng.cgi?username=paulg&amp;access=paulg20&amp;db=electronics-set-c</t>
  </si>
  <si>
    <t>Database of literature related to electronics and communications.</t>
  </si>
  <si>
    <t>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t>
  </si>
  <si>
    <t>Emporis</t>
  </si>
  <si>
    <t>http://research.emporis.com/</t>
  </si>
  <si>
    <t>Emporis Research</t>
  </si>
  <si>
    <t>International database of architectural and building data.</t>
  </si>
  <si>
    <t>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t>
  </si>
  <si>
    <t>Endocrinology Abstracts</t>
  </si>
  <si>
    <t>http://www.csa.com/htbin/dbrng.cgi?username=paulg&amp;access=paulg20&amp;db=endocrinology-archival-set-c</t>
  </si>
  <si>
    <t>Database of scientific literature on endocrinology.</t>
  </si>
  <si>
    <t>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t>
  </si>
  <si>
    <t>Energy Citations Database</t>
  </si>
  <si>
    <t>http://www.osti.gov/energycitations/basicsearch.jsp</t>
  </si>
  <si>
    <t>Office of Scientific &amp; Technical Information</t>
  </si>
  <si>
    <t xml:space="preserve"> U.S. Dept. of Energy (DOE) reports and documents.</t>
  </si>
  <si>
    <t>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t>
  </si>
  <si>
    <t>Engineered Materials Abstracts</t>
  </si>
  <si>
    <t>http://www.csa.com/htbin/dbrng.cgi?username=paulg&amp;access=paulg20&amp;db=emaclust-set-c</t>
  </si>
  <si>
    <t>Advanced Polymers Abstracts, Composites Industry Abstracts, Engineered Materials Abstracts, Ceramics</t>
  </si>
  <si>
    <t>Abstracts of research on ceramics, composites, and polymers.</t>
  </si>
  <si>
    <t>Engineered Materials Abstracts, Ceramics</t>
  </si>
  <si>
    <t>http://www.csa.com/htbin/dbrng.cgi?username=paulg&amp;access=paulg20&amp;db=ema-ceramics-set-c</t>
  </si>
  <si>
    <t>Citations of literature on structural ceramics.</t>
  </si>
  <si>
    <t>Engineering Sciences and Pollution Management</t>
  </si>
  <si>
    <t>http://www.csa.com/htbin/dbrng.cgi?username=paulg&amp;access=paulg20&amp;db=envclust-set-c</t>
  </si>
  <si>
    <t>Entomology Abstracts</t>
  </si>
  <si>
    <t>http://www.csa.com/htbin/dbrng.cgi?username=paulg&amp;access=paulg20&amp;db=entomology-set-c</t>
  </si>
  <si>
    <t>Covers research and reports on entomology.</t>
  </si>
  <si>
    <t>Environmental Engineering Abstracts</t>
  </si>
  <si>
    <t>http://www.csa.com/htbin/dbrng.cgi?username=paulg&amp;access=paulg20&amp;db=environmental-set-c</t>
  </si>
  <si>
    <t>Covers journal literature on technological and engineering aspects of air and water quality, environmental safety, and energy production.</t>
  </si>
  <si>
    <t>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t>
  </si>
  <si>
    <t>ASFA 3: Aquatic Pollution and Environmental Quality, Bacteriology Abstracts (Microbiology B), Biotechnology Research Abstracts, Ecology Abstracts, Environmental Engineering Abstracts, Health and Safety Science Abstracts, Human Population &amp; Natural Resource Management, Industrial and Applied Microbiology Abstracts (Microbiology A), Pollution Abstracts, Risk Abstracts, Sustainability Science Abstracts, Toxicology Abstracts, Water Resources Abstracts</t>
  </si>
  <si>
    <t>Multidisciplinary database covering all aspects of the environmental sciences.</t>
  </si>
  <si>
    <t>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t>
  </si>
  <si>
    <t>EPA Science Inventory</t>
  </si>
  <si>
    <t>http://cfpub.epa.gov/si</t>
  </si>
  <si>
    <t>Environmental Protection Agency</t>
  </si>
  <si>
    <t>Searchable database of EPA science activities and scientific/technical work products.</t>
  </si>
  <si>
    <t>E-print Network</t>
  </si>
  <si>
    <t>http://eprints.osti.gov/</t>
  </si>
  <si>
    <t>Provides a deep web distributed search across dozens of online document collections.</t>
  </si>
  <si>
    <t>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t>
  </si>
  <si>
    <t>ERIC</t>
  </si>
  <si>
    <t>Education Resources Information Center</t>
  </si>
  <si>
    <t>http://search.EBSCOhost.com/login.asp?profile=web&amp;defaultdb=eric</t>
  </si>
  <si>
    <t>Comprehensive database of information and literature on all aspects of education.</t>
  </si>
  <si>
    <t>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t>
  </si>
  <si>
    <t>esp@cenet</t>
  </si>
  <si>
    <t>http://ep.espacenet.com/</t>
  </si>
  <si>
    <t>patent</t>
  </si>
  <si>
    <t>European Patent Office</t>
  </si>
  <si>
    <t>Online database of international patents from the European Patent Office.</t>
  </si>
  <si>
    <t>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t>
  </si>
  <si>
    <t>Fermilab Technical Publications</t>
  </si>
  <si>
    <t>http://bss.fnal.gov/techpubs/fermilab_spires.html</t>
  </si>
  <si>
    <t>Fermilab</t>
  </si>
  <si>
    <t>Pre-prints and other publications from the Fermi National Accelerator Laboratory.</t>
  </si>
  <si>
    <t>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t>
  </si>
  <si>
    <t>FSTA - Food Science and Technology Abstracts</t>
  </si>
  <si>
    <t>http://search.EBSCOhost.com/login.asp?profile=web&amp;defaultdb=ffh</t>
  </si>
  <si>
    <t>Database of information on food science, food technology and nutrition.</t>
  </si>
  <si>
    <t>Funk &amp;amp; Wagnalls New World Encyclopedia</t>
  </si>
  <si>
    <t>http://search.EBSCOhost.com/login.asp?profile=web&amp;defaultdb=funk</t>
  </si>
  <si>
    <t>Online version of the popular encyclopedia.</t>
  </si>
  <si>
    <t>Online version of the popular encyclopedia, featuring over 25,000 entries, covering a broad array of topics.</t>
  </si>
  <si>
    <t>GenBank</t>
  </si>
  <si>
    <t>http://www.ncbi.nlm.nih.gov/Genbank/</t>
  </si>
  <si>
    <t>National Center for Biotechnology Information</t>
  </si>
  <si>
    <t>Annotated collection of all publicly available DNA sequences.</t>
  </si>
  <si>
    <t>GenBank is the National Institute of Health (NIH) genetic sequence database, an annotated collection of all publicly available DNA sequences.</t>
  </si>
  <si>
    <t>Genetics Abstracts</t>
  </si>
  <si>
    <t>http://www.csa.com/htbin/dbrng.cgi?username=paulg&amp;access=paulg20&amp;db=genetics-set-c</t>
  </si>
  <si>
    <t>Database of literature covering all aspects of genetics.</t>
  </si>
  <si>
    <t>Genetics Abstracts is a database of worldwide literature covering topics such as molecular genetics, DNA, differentiation and development, RNA, protein synthesis, ribosomes, nuclear proteins and chromatin, enzymes, gene regulation, and recombinant DNA technology.</t>
  </si>
  <si>
    <t>Glossary of Genetic Terms</t>
  </si>
  <si>
    <t>http://www.genome.gov/glossary.cfm</t>
  </si>
  <si>
    <t>National Institutes of Health</t>
  </si>
  <si>
    <t>Glossary of genetic terms</t>
  </si>
  <si>
    <t>Google Patent Search</t>
  </si>
  <si>
    <t>http://www.google.com/patents</t>
  </si>
  <si>
    <t>Google</t>
  </si>
  <si>
    <t>Search the full text of the U.S. patent corpus.</t>
  </si>
  <si>
    <t>Google Patent Search offers full-text searching of the entire U.S. patent corpus.</t>
  </si>
  <si>
    <t>Google Scholar</t>
  </si>
  <si>
    <t>http://scholar.google.com</t>
  </si>
  <si>
    <t>Provides a simple search for scholarly literature across all academic subjects.</t>
  </si>
  <si>
    <t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t>
  </si>
  <si>
    <t>Government Sites from Bernan</t>
  </si>
  <si>
    <t>http://gii.bernan.com/</t>
  </si>
  <si>
    <t>Bernan Press</t>
  </si>
  <si>
    <t>GPO</t>
  </si>
  <si>
    <t>U.S. Government Printing Office</t>
  </si>
  <si>
    <t>http://newfirstsearch.oclc.org/dbname=GPO;FSIP</t>
  </si>
  <si>
    <t>Database of government publications.</t>
  </si>
  <si>
    <t>This database of government publications covers all types of U.S. government documents, including Congressional reports, hearings, debates, and records; judiciary materials; and documents issued by executive departments (Defense, State, Labor, Office of the President, etc.).</t>
  </si>
  <si>
    <t>GreenFILE</t>
  </si>
  <si>
    <t>http://search.EBSCOhost.com/login.asp?profile=web&amp;defaultdb=8gh</t>
  </si>
  <si>
    <t>Index of research covering all aspects of human impact to the environment.</t>
  </si>
  <si>
    <t>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t>
  </si>
  <si>
    <t>Harper's Weekly</t>
  </si>
  <si>
    <t>http://app.harpweek.com/</t>
  </si>
  <si>
    <t>Online archive of this once-popular 19th-century newspaper.</t>
  </si>
  <si>
    <t>Online archive of issues of Harper's Weekly, one of America's leading 19th-century illustrated newspapers. Access is available from 1857-1912.</t>
  </si>
  <si>
    <t>Health and Safety Science Abstracts</t>
  </si>
  <si>
    <t>http://www.csa.com/htbin/dbrng.cgi?username=paulg&amp;access=paulg20&amp;db=health-safety-set-c</t>
  </si>
  <si>
    <t>Database of literature relating to public health, safety, and industrial hygiene.</t>
  </si>
  <si>
    <t>Health Source - Consumer Edition</t>
  </si>
  <si>
    <t>http://search.EBSCOhost.com/login.asp?profile=web&amp;defaultdb=hxh</t>
  </si>
  <si>
    <t>Database of consumer health information and literature.</t>
  </si>
  <si>
    <t>Database of consumer health information, providing information on many health topics including the medical sciences, food sciences and nutrition, childcare, sports medicine and general health. Provides access to nearly 80 full text, consumer health magazines.</t>
  </si>
  <si>
    <t>Health Source - Nursing / Academic Edition</t>
  </si>
  <si>
    <t>http://search.EBSCOhost.com/login.asp?profile=web&amp;defaultdb=hch</t>
  </si>
  <si>
    <t>Medicine, health, pharmacology.</t>
  </si>
  <si>
    <t>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t>
  </si>
  <si>
    <t>History of Science, Technology, and Medicine</t>
  </si>
  <si>
    <t>http://search.EBSCOhost.com/login.asp?profile=web&amp;defaultdb=htm</t>
  </si>
  <si>
    <t>Indexes scholarly literature covering the history of science, technology, and medicine.</t>
  </si>
  <si>
    <t>This database indexes journal articles, conference proceedings, books, book reviews, and dissertations in the history of science, technology, and medicine and allied historical fields.</t>
  </si>
  <si>
    <t>Human Genome Abstracts</t>
  </si>
  <si>
    <t>http://www.csa.com/htbin/dbrng.cgi?username=paulg&amp;access=paulg20&amp;db=human-genome-set-c</t>
  </si>
  <si>
    <t>Covers genome research literature.</t>
  </si>
  <si>
    <t>Human Population &amp; Natural Resource Management</t>
  </si>
  <si>
    <t>http://www.csa.com/htbin/dbrng.cgi?username=paulg&amp;access=paulg20&amp;db=humanpop-set-c</t>
  </si>
  <si>
    <t>Abstracts of literature related to human population dynamics and the environment.</t>
  </si>
  <si>
    <t>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t>
  </si>
  <si>
    <t>IEEE Xplore</t>
  </si>
  <si>
    <t>Institute of Electrical and Electronics Engineers</t>
  </si>
  <si>
    <t>http://ieeexplore.ieee.org/</t>
  </si>
  <si>
    <t>Access the full text of publications from the IEEE and the IEE.</t>
  </si>
  <si>
    <t>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t>
  </si>
  <si>
    <t>I-Share Catalog</t>
  </si>
  <si>
    <t>http://vufind.carli.illinois.edu/vf/</t>
  </si>
  <si>
    <t>CARLI</t>
  </si>
  <si>
    <t>Search the collections of dozens of academic libraries in Illinois.</t>
  </si>
  <si>
    <t>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t>
  </si>
  <si>
    <t>Tech News Collection</t>
  </si>
  <si>
    <t>http://library.iit.edu/technews/</t>
  </si>
  <si>
    <t>Digital collection of IIT-published campus newspapers.</t>
  </si>
  <si>
    <t>IIT Library Catalog</t>
  </si>
  <si>
    <t>https://vufind.carli.illinois.edu/vf-iit/</t>
  </si>
  <si>
    <t>IIT Library</t>
  </si>
  <si>
    <t>Begin your book search here.</t>
  </si>
  <si>
    <t>Use the IIT Library Catalog to search for books, e-books, and print journals held by Paul V. Galvin Library and any of IIT's branch libraries. View your patron record at 'My Account' to see items checked out from IIT and I-Share libraries.</t>
  </si>
  <si>
    <t>Immunology Abstracts</t>
  </si>
  <si>
    <t>http://www.csa.com/htbin/dbrng.cgi?username=paulg&amp;access=paulg20&amp;db=immunology-set-c</t>
  </si>
  <si>
    <t>Abstracts of scientific literature related to immunology.</t>
  </si>
  <si>
    <t>Immunology Abstracts covers a wide range of topics in biomedical science, from cancer and vaccine research to immune deficiencies and autoimmunity. Studies relating to all aspects of immune systems in man and animals, in normal functions and disorders, are summarized.</t>
  </si>
  <si>
    <t>Industrial and Applied Microbiology Abstracts (Microbiology A)</t>
  </si>
  <si>
    <t>http://www.csa.com/htbin/dbrng.cgi?username=paulg&amp;access=paulg20&amp;db=microbiology-a-set-c</t>
  </si>
  <si>
    <t>Database of literature covering microbiology.</t>
  </si>
  <si>
    <t>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t>
  </si>
  <si>
    <t>Information Bridge</t>
  </si>
  <si>
    <t>http://www.osti.gov/bridge/index.jsp</t>
  </si>
  <si>
    <t>Office of Scientific and Technical Information</t>
  </si>
  <si>
    <t>Full-text documents and bibliographic citations of Department of Energy (DOE) research report literature.</t>
  </si>
  <si>
    <t>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t>
  </si>
  <si>
    <t>Information Please Almanac</t>
  </si>
  <si>
    <t>http://www.infoplease.com/</t>
  </si>
  <si>
    <t>Infoplease</t>
  </si>
  <si>
    <t>Online version of the popular almanac.</t>
  </si>
  <si>
    <t>Infotrac</t>
  </si>
  <si>
    <t>http://infotrac.galegroup.com/itweb/chic40381</t>
  </si>
  <si>
    <t>Inspec</t>
  </si>
  <si>
    <t>http://apps.webofknowledge.com/INSPEC_GeneralSearch_input.do?product=INSPEC&amp;search_mode=GeneralSearch</t>
  </si>
  <si>
    <t>Comprehensive database covering all aspects of science, engineering, and technology.</t>
  </si>
  <si>
    <t>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t>
  </si>
  <si>
    <t>Internet Public Library Online</t>
  </si>
  <si>
    <t>http://www.ipl.org/div/subject/browse/hum60.60.00/</t>
  </si>
  <si>
    <t>U of M School of Information</t>
  </si>
  <si>
    <t>Directory of web sites covering all academic subjects, including reference sources and e-books.</t>
  </si>
  <si>
    <t>A comprehensive directory of web sites covering all academic subject areas. Provides links to many online reference sources, including dictionaries, encyclopedias, biographies, census data, and style/writing guides. Many e-book collections are covered as well.</t>
  </si>
  <si>
    <t>Investext</t>
  </si>
  <si>
    <t>http://infotrac.galegroup.com/itw/infomark/0/1/1/purl=rc6_RBW?sw_aep=chic40381</t>
  </si>
  <si>
    <t>IOP</t>
  </si>
  <si>
    <t>Institute of Physics Journals</t>
  </si>
  <si>
    <t>http://iopscience.iop.org</t>
  </si>
  <si>
    <t>Institute of Physics</t>
  </si>
  <si>
    <t>Access over 50 research journals published by the IoP.</t>
  </si>
  <si>
    <t>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t>
  </si>
  <si>
    <t>Grant Forward</t>
  </si>
  <si>
    <t>Illinois Researcher Information Service</t>
  </si>
  <si>
    <t>http://www.grantforward.com</t>
  </si>
  <si>
    <t>UIUC Library</t>
  </si>
  <si>
    <t>Database of grants, offerings and other funding sources.</t>
  </si>
  <si>
    <t>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t>
  </si>
  <si>
    <t>JSTOR</t>
  </si>
  <si>
    <t>http://www.jstor.org</t>
  </si>
  <si>
    <t>Archive of essential scholarly journals related to the humanities, physical sciences, and social sciences.</t>
  </si>
  <si>
    <t>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t>
  </si>
  <si>
    <t>LexisNexis Academic Universe</t>
  </si>
  <si>
    <t>http://www.lexisnexis.com/us/lnacademic</t>
  </si>
  <si>
    <t>LexisNexis Academic</t>
  </si>
  <si>
    <t>Vast database of news, business, legal, medical, and reference publications.</t>
  </si>
  <si>
    <t>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t>
  </si>
  <si>
    <t>Liebert Online</t>
  </si>
  <si>
    <t>http://www.liebertonline.com/</t>
  </si>
  <si>
    <t>Online access to journals published by Mary Ann Liebert, Inc.</t>
  </si>
  <si>
    <t>Liebert Online provides electronic access to peer-reviewed journals published by Mary Ann Liebert, Inc. Includes over 30,000 papers from more than 60 journals, all full-text searchable and linked to external bibliographic databases up to 2009.</t>
  </si>
  <si>
    <t>LISTA</t>
  </si>
  <si>
    <t>Library, Information Science &amp;amp; Technology Abstracts</t>
  </si>
  <si>
    <t>http://search.EBSCOhost.com/login.asp?profile=web&amp;defaultdb=lxh</t>
  </si>
  <si>
    <t>Index of academic literature related to information science and librarianship.</t>
  </si>
  <si>
    <t>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t>
  </si>
  <si>
    <t>MADCAD</t>
  </si>
  <si>
    <t>http://www.madcad.com/madcad/login.php</t>
  </si>
  <si>
    <t>Compu.tecture, Incorporated</t>
  </si>
  <si>
    <t>Access building codes and standards online.</t>
  </si>
  <si>
    <t>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t>
  </si>
  <si>
    <t>Making of Modern Law: Legal Treatises 1800-1926</t>
  </si>
  <si>
    <t>http://find.galegroup.com/menu/start?userGroupName=chic40381&amp;prod=MOML</t>
  </si>
  <si>
    <t>Online access to legal treatises on U.S. and British law published from 1800-1926.</t>
  </si>
  <si>
    <t>Provides digital images on every page of 22,000 legal treatises on U.S. and British law published from 1800 through 1926. Full-text searching on more than 10 million pages is available.</t>
  </si>
  <si>
    <t>MarketResearch.com Academic</t>
  </si>
  <si>
    <t>http://academic.marketresearch.com/index.asp?prid=920953817</t>
  </si>
  <si>
    <t>MarketResearch.com</t>
  </si>
  <si>
    <t>Market reports, company profiles, consumer demographics.</t>
  </si>
  <si>
    <t>Provides market intelligence on consumer demographics, market size and growth trends, industry forces and structure, product trends, competitive environment analysis, and company profiles.</t>
  </si>
  <si>
    <t>Materials Business File</t>
  </si>
  <si>
    <t>http://www.csa.com/htbin/dbrng.cgi?username=paulg&amp;access=paulg20&amp;db=mbf-set-c</t>
  </si>
  <si>
    <t>Covers news, product development, construction, trade, regulation, and management issues related to technology, science, and engineering industries.</t>
  </si>
  <si>
    <t>MathSciNet</t>
  </si>
  <si>
    <t>http://www.ams.org/mathscinet/search</t>
  </si>
  <si>
    <t>American Mathematical Society</t>
  </si>
  <si>
    <t>Database of scholarly mathematical literature.</t>
  </si>
  <si>
    <t>Provided by the American Mathematical Society, MathSciNet is a searchable database of the world's scholarly mathematical literature since 1940, including reviews, abstracts and bibliographic information.</t>
  </si>
  <si>
    <t>Mechanical &amp;amp; Transportation Engineering Abstracts</t>
  </si>
  <si>
    <t>http://www.csa.com/htbin/dbrng.cgi?username=paulg&amp;access=paulg20&amp;db=mechtrans-set-c</t>
  </si>
  <si>
    <t>Provides citations, abstracts, and indexing of the serials literature in mechanical and transportation engineering.</t>
  </si>
  <si>
    <t>Medical and Pharmaceutical Biotechnology Abstracts</t>
  </si>
  <si>
    <t>http://www.csa.com/htbin/dbrng.cgi?username=paulg&amp;access=paulg20&amp;db=medical-pharmaceutical-set-c</t>
  </si>
  <si>
    <t>MEDLINE</t>
  </si>
  <si>
    <t>http://newfirstsearch.oclc.org/dbname=MEDLINE;FSIP</t>
  </si>
  <si>
    <t>Database of research covering all areas of medicine, health care, and pharmacology.</t>
  </si>
  <si>
    <t>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t>
  </si>
  <si>
    <t>Medline Plus</t>
  </si>
  <si>
    <t>http://medlineplus.gov/</t>
  </si>
  <si>
    <t>U.S. National Library of Medicine</t>
  </si>
  <si>
    <t>Consumer health information.</t>
  </si>
  <si>
    <t>Mental Measurements Yearbook / Tests in Print</t>
  </si>
  <si>
    <t>http://search.EBSCOhost.com/login.asp?profile=ehost&amp;defaultdb=mmt</t>
  </si>
  <si>
    <t>These two databases contain information on psychological, educational, and vocational testing, including a  Comprehensive bibliography of all known commercially available tests.</t>
  </si>
  <si>
    <t>Mental Measurements Yearbook contains full text information and reviews of all English-language standardized tests covering educational skills, personality, vocational aptitude, psychology, and related areas.</t>
  </si>
  <si>
    <t>RSC Journal Archives (abstracts)</t>
  </si>
  <si>
    <t>http://www.rsc.org/Publishing/Journals/fjournalsearch.asp</t>
  </si>
  <si>
    <t>Index of journal literature published by the Royal Society of Chemistry.</t>
  </si>
  <si>
    <t>Merriam-Webster OnLine</t>
  </si>
  <si>
    <t>http://www.m-w.com/</t>
  </si>
  <si>
    <t>Merriam-Webster</t>
  </si>
  <si>
    <t>Online version of this essential dictionary.</t>
  </si>
  <si>
    <t>METADEX</t>
  </si>
  <si>
    <t>http://www.csa.com/htbin/dbrng.cgi?username=paulg&amp;access=paulg20&amp;db=metadex-set-c</t>
  </si>
  <si>
    <t>Information on metals and alloys.</t>
  </si>
  <si>
    <t>MicroPatent Materials Patents</t>
  </si>
  <si>
    <t>http://www.csa.com/htbin/dbrng.cgi?username=paulg&amp;access=paulg20&amp;db=micropatent-set-c</t>
  </si>
  <si>
    <t>Monthly updates of international patents related to technology, engineering, materials, and the sciences.</t>
  </si>
  <si>
    <t>Military &amp;amp; Government Collection</t>
  </si>
  <si>
    <t>http://search.EBSCOhost.com/login.asp?profile=web&amp;defaultdb=mth</t>
  </si>
  <si>
    <t>Abstracts of journal literature related to all branches of the military.</t>
  </si>
  <si>
    <t>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t>
  </si>
  <si>
    <t>NanoEthicsBank</t>
  </si>
  <si>
    <t>http://ethics.iit.edu/NanoEthicsBank/</t>
  </si>
  <si>
    <t>Center for the Study of Ethics in the Professions</t>
  </si>
  <si>
    <t>Interdisciplinary database of documents related to the social and ethical implications of nanotechnology.</t>
  </si>
  <si>
    <t>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t>
  </si>
  <si>
    <t>NASA Technical Reports Server</t>
  </si>
  <si>
    <t>NTRS</t>
  </si>
  <si>
    <t>http://ntrs.nasa.gov/search.jsp</t>
  </si>
  <si>
    <t>NASA</t>
  </si>
  <si>
    <t>Access technical reports and other documents produced by NASA.</t>
  </si>
  <si>
    <t>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t>
  </si>
  <si>
    <t>NBER</t>
  </si>
  <si>
    <t>National Bureau of Economic Research Working Papers</t>
  </si>
  <si>
    <t>http://papers.nber.org/</t>
  </si>
  <si>
    <t>National Bureau of Economic Research</t>
  </si>
  <si>
    <t>Database of reports and papers produced by the NBER.</t>
  </si>
  <si>
    <t>Database of reports, papers, and other publications produced by the National Bureau of Economic Research -- a private, nonprofit, nonpartisan research organization.</t>
  </si>
  <si>
    <t>eBook Collection (EBSCOhost)</t>
  </si>
  <si>
    <t>http://search.EBSCOhost.com/login.asp?profile=web&amp;defaultdb=nlebk</t>
  </si>
  <si>
    <t>Illinois Digital Academic Library</t>
  </si>
  <si>
    <t>You may be asked to create an individual account for access to content.</t>
  </si>
  <si>
    <t>Collection of e-books for all academic subjects.</t>
  </si>
  <si>
    <t>This database contains almost 3,400 electronic books made available through the Illinois Digital Academic Library (IDAL).</t>
  </si>
  <si>
    <t>NYPL Digital Gallery</t>
  </si>
  <si>
    <t>http://digitalgallery.nypl.org/nypldigital/index.cfm</t>
  </si>
  <si>
    <t>New York Public Library</t>
  </si>
  <si>
    <t>Database of over 600,000 images from the collections of the New York Public Library.</t>
  </si>
  <si>
    <t>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t>
  </si>
  <si>
    <t>NewsBank - America's Newspapers</t>
  </si>
  <si>
    <t>http://infoweb.newsbank.com</t>
  </si>
  <si>
    <t>NewsBank Inc.</t>
  </si>
  <si>
    <t>Online editions of over 700 local, regional, and national U.S. newspapers and magazines.</t>
  </si>
  <si>
    <t>Newspaper Source</t>
  </si>
  <si>
    <t>http://search.EBSCOhost.com/login.asp?profile=web&amp;defaultdb=nfh</t>
  </si>
  <si>
    <t>Online full text for over 400 national and international newspapers.</t>
  </si>
  <si>
    <t>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t>
  </si>
  <si>
    <t>NTIS</t>
  </si>
  <si>
    <t>http://www.ntis.gov/search/index.aspx</t>
  </si>
  <si>
    <t>Database of government-produced technical information.</t>
  </si>
  <si>
    <t>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t>
  </si>
  <si>
    <t>Nucleic Acids Abstracts</t>
  </si>
  <si>
    <t>http://www.csa.com/htbin/dbrng.cgi?username=paulg&amp;access=paulg20&amp;db=nucleic-acids-set-c</t>
  </si>
  <si>
    <t>Covers research on cloning and gene regulatory sequences.</t>
  </si>
  <si>
    <t>Oncogenes and Growth Factors Abstracts</t>
  </si>
  <si>
    <t>http://www.csa.com/htbin/dbrng.cgi?username=paulg&amp;access=paulg20&amp;db=oncogenes-set-c</t>
  </si>
  <si>
    <t>Covers experimental and clinical literature focusing on mechanisms of oncogenes and growth factors.</t>
  </si>
  <si>
    <t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t>
  </si>
  <si>
    <t>Optics InfoBase</t>
  </si>
  <si>
    <t>http://www.opticsinfobase.org/default.cfm</t>
  </si>
  <si>
    <t>Optical Society of America</t>
  </si>
  <si>
    <t xml:space="preserve">Online repository of journals from the Optical Society of America. </t>
  </si>
  <si>
    <t xml:space="preserve">InfoBase is the Optical Society of America's online repository of both current and past volumes of all its journals (citations only, no full-text). It also contains recent proceedings from OSA conferences. </t>
  </si>
  <si>
    <t>Getty Thesaurus of Geographic Names</t>
  </si>
  <si>
    <t>http://www.getty.edu/research/conducting_research/vocabularies/tgn/index.html</t>
  </si>
  <si>
    <t>Oxford English Dictionary</t>
  </si>
  <si>
    <t>http://www.oed.com/</t>
  </si>
  <si>
    <t>OED Online</t>
  </si>
  <si>
    <t>Online edition of the definitive dictionary of the English language.</t>
  </si>
  <si>
    <t xml:space="preserve">Online edition of the definitive dictionary of the English language. Find word definitions, etymology, date charts, and more. </t>
  </si>
  <si>
    <t>Papers First</t>
  </si>
  <si>
    <t>http://newfirstsearch.oclc.org/dbname=PapersFirst;FSIP</t>
  </si>
  <si>
    <t>An index of papers presented at conferences.</t>
  </si>
  <si>
    <t>An index of papers presented at conferences. Includes every congress, conference, exposition, workshop, symposium, and meeting received at the British Library.</t>
  </si>
  <si>
    <t>PerAbs</t>
  </si>
  <si>
    <t>Periodical Abstracts</t>
  </si>
  <si>
    <t>http://newfirstsearch.oclc.org/dbname=PerAbs;FSIP</t>
  </si>
  <si>
    <t>Periodical abstracts from general and academic journals.</t>
  </si>
  <si>
    <t>Periodical abstracts from general and academic journals. Subject covered include business, economics, literature, psychology, religion, and women's studies.</t>
  </si>
  <si>
    <t>Philosopher's Index</t>
  </si>
  <si>
    <t>http://search.ebscohost.com/login.aspx?authtype=ip,uid&amp;profile=ehost&amp;defaultdb=phl</t>
  </si>
  <si>
    <t>Covers all major fields of philosophy.</t>
  </si>
  <si>
    <t>Philosopher's Index covers all major fields of philosophy. This resource contains citation information and author-written abstracts for journal articles, books, contributions to anthologies, and book reviews.</t>
  </si>
  <si>
    <t>PILOTS Database</t>
  </si>
  <si>
    <t>Published International Literature On Traumatic Stress</t>
  </si>
  <si>
    <t>http://www.csa.com/htbin/dbrng.cgi?username=paulg&amp;access=paulg20&amp;db=pilots-set-c</t>
  </si>
  <si>
    <t>Index of  literature on traumatic stress.</t>
  </si>
  <si>
    <t>Plant Science</t>
  </si>
  <si>
    <t>http://www.csa.com/htbin/dbrng.cgi?username=paulg&amp;access=paulg20&amp;db=plantsci-set-c</t>
  </si>
  <si>
    <t>Citations and abstracts of scientific literature on all aspects of plant science.</t>
  </si>
  <si>
    <t>PLoS</t>
  </si>
  <si>
    <t>Public Library of Science</t>
  </si>
  <si>
    <t>http://www.plos.org/</t>
  </si>
  <si>
    <t>Online repository of open-access scientific journals.</t>
  </si>
  <si>
    <t>Online repository of open-access scientific journals published by Public Library of Science (PLoS), a nonprofit organization of scientists and physicians committed to making the world's scientific and medical literature a freely available public resource.</t>
  </si>
  <si>
    <t>Pollution Abstracts</t>
  </si>
  <si>
    <t>http://www.csa.com/htbin/dbrng.cgi?username=paulg&amp;access=paulg20&amp;db=pollution-set-c&amp;adv=1</t>
  </si>
  <si>
    <t>Covers scientific research and government policy relating to global pollution issues.</t>
  </si>
  <si>
    <t>Proceedings</t>
  </si>
  <si>
    <t>http://newfirstsearch.oclc.org/dbname=Proceedings;FSIP</t>
  </si>
  <si>
    <t>Index of worldwide conference proceedings.</t>
  </si>
  <si>
    <t>Index of worldwide conference proceedings. Covers every published congress, symposium, conference, exposition, workshop and meeting received by The British Library Document Supply Centre.</t>
  </si>
  <si>
    <t>Professional Development Collection</t>
  </si>
  <si>
    <t>http://search.EBSCOhost.com/login.asp?profile=web&amp;defaultdb=tfh</t>
  </si>
  <si>
    <t>Citations of education literature, including many full-text journals.</t>
  </si>
  <si>
    <t>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t>
  </si>
  <si>
    <t>Project Gutenberg</t>
  </si>
  <si>
    <t>http://gutenberg.cc/</t>
  </si>
  <si>
    <t>PGCC</t>
  </si>
  <si>
    <t>Access to over 75,000 e-books, including classics of literature.</t>
  </si>
  <si>
    <t>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t>
  </si>
  <si>
    <t>Project Muse</t>
  </si>
  <si>
    <t>http://muse.jhu.edu/search/search.pl</t>
  </si>
  <si>
    <t>John Hopkins University Press</t>
  </si>
  <si>
    <t>Online collection of prestigious humanities, arts, and social sciences journals.</t>
  </si>
  <si>
    <t>This database offers a comprehensive selection of prestigious humanities, arts, and social sciences journals. Every journal is indexed and peer-reviewed. Project MUSE contains articles scanned as exact replicas in pdf format.</t>
  </si>
  <si>
    <t>PROMT</t>
  </si>
  <si>
    <t>Predicast Overview of Markets and Technology</t>
  </si>
  <si>
    <t>http://find.galegroup.com/menu/start?userGroupName=chic40381&amp;prod=PRS</t>
  </si>
  <si>
    <t>PsycARTICLES</t>
  </si>
  <si>
    <t>http://search.ebscohost.com/login.asp?profile=web&amp;defaultdb=pdh</t>
  </si>
  <si>
    <t>Database of full-text scholarly articles from psychology journals.</t>
  </si>
  <si>
    <t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t>
  </si>
  <si>
    <t>PsycINFO</t>
  </si>
  <si>
    <t>http://search.ebscohost.com/login.asp?profile=web&amp;amp;defaultdb=psyh</t>
  </si>
  <si>
    <t>The authoritative source for scholarly literature in the behavioral sciences and mental health.</t>
  </si>
  <si>
    <t>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t>
  </si>
  <si>
    <t>DTIC Online: Public Technical Reports</t>
  </si>
  <si>
    <t>http://www.dtic.mil/dtic/search/tr/</t>
  </si>
  <si>
    <t>STINET Online</t>
  </si>
  <si>
    <t>Access to technical reports from all three branches of the military.</t>
  </si>
  <si>
    <t>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t>
  </si>
  <si>
    <t>PubMed</t>
  </si>
  <si>
    <t>http://www.ncbi.nlm.nih.gov/sites/entrez?otool=ilinstclib</t>
  </si>
  <si>
    <t>National Library of Medicine</t>
  </si>
  <si>
    <t>Covers biomedical and life sciences journal literature.</t>
  </si>
  <si>
    <t>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t>
  </si>
  <si>
    <t>Regional Business News</t>
  </si>
  <si>
    <t>http://search.EBSCOhost.com/login.asp?profile=web&amp;defaultdb=bwh</t>
  </si>
  <si>
    <t>Covers 75 U.S. business journals, newspapers and newswires.</t>
  </si>
  <si>
    <t>Regional Business News covers 75 business journals, newspapers and newswires covering all metropolitan and rural areas within the United States. Full-text is available for many publications.</t>
  </si>
  <si>
    <t>Risk Abstracts</t>
  </si>
  <si>
    <t>http://www.csa.com/htbin/dbrng.cgi?username=paulg&amp;access=paulg20&amp;db=risk-set-c</t>
  </si>
  <si>
    <t>Covers journal literature on risk arising from industrial, technological, environmental, and other sources.</t>
  </si>
  <si>
    <t>SAGE Journals Online</t>
  </si>
  <si>
    <t>http://online.sagepub.com</t>
  </si>
  <si>
    <t>SAGE Publications</t>
  </si>
  <si>
    <t>Collection of full-text journals in business, communications, psychology, and the social sciences.</t>
  </si>
  <si>
    <t>A collection of over 450 online, peer-reviewed journals and other scholarly content in many disciplines including Management &amp;amp; Organization Studies, Communication Studies, Psychology and Sociology. Full-text available from 1999-present.</t>
  </si>
  <si>
    <t>Sanborn Digital Maps 1867-1970</t>
  </si>
  <si>
    <t>http://collections.carli.illinois.edu/cdm4/browse.php?CISOROOT=/sanborn</t>
  </si>
  <si>
    <t>Digital access to large-scale historical maps of more than 12,000 American towns and cities.</t>
  </si>
  <si>
    <t>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t>
  </si>
  <si>
    <t>Saskia Art Images Collection</t>
  </si>
  <si>
    <t>http://collections.carli.illinois.edu/cdm4/index_saskia.php?CISOROOT=/saskia</t>
  </si>
  <si>
    <t>Digital images of paintings, sculpture and architecture.</t>
  </si>
  <si>
    <t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t>
  </si>
  <si>
    <t>Science.gov</t>
  </si>
  <si>
    <t>http://www.science.gov/</t>
  </si>
  <si>
    <t>Department of Education</t>
  </si>
  <si>
    <t>Directory of selected science information web sites provided by U.S. government agencies.</t>
  </si>
  <si>
    <t>ScienceDirect</t>
  </si>
  <si>
    <t>http://www.sciencedirect.com/science?_ob=JournalListURL&amp;_update=y&amp;_auth=y&amp;_acct=C000038758&amp;md5=53ed6a00967cec5320d541a476b9d31e&amp;subjColl=all&amp;stype=title&amp;type=subscribed</t>
  </si>
  <si>
    <t>Elsevier</t>
  </si>
  <si>
    <t>Online access to journals published by Elsevier in the fields of science, technology, and medicine.</t>
  </si>
  <si>
    <t>Online access to journals published by Elsevier, mainly in the fields of science, technology, and medicine. Use the Browse links to search for journals by subject area or title.</t>
  </si>
  <si>
    <t>SciFinder Scholar</t>
  </si>
  <si>
    <t>https://scifinder.cas.org/scifinder</t>
  </si>
  <si>
    <t>You &lt;u&gt;must&lt;/u&gt; register with SciFinder first. Click &lt;a href=\http://library.iit.edu/databases/scifinder.php\"&gt;here&lt;/a&gt; for registration information."</t>
  </si>
  <si>
    <t>The premier research tool for chemical, biological, biomedical, and related scientific information.</t>
  </si>
  <si>
    <t xml:space="preserve">SciFinder is the premier research tool for chemical, biological, biomedical, and related scientific information. </t>
  </si>
  <si>
    <t>Getty Art &amp;amp; Architecture Thesaurus</t>
  </si>
  <si>
    <t>http://www.getty.edu/research/conducting_research/vocabularies/aat/</t>
  </si>
  <si>
    <t>The AAT is a structured vocabulary relating to architecture, fine arts, and related topics. Useful in defining the best term for a search, related topics, and the history of a term's use. Should one search for Brutalist, Brutalism, or Neo-Brutalist? Find the answer in the AAT.</t>
  </si>
  <si>
    <t>Scirus</t>
  </si>
  <si>
    <t>http://scirus.com/</t>
  </si>
  <si>
    <t>Search engine for scientific literature and information in selected journals and on the Web.</t>
  </si>
  <si>
    <t>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t>
  </si>
  <si>
    <t>http://scitation.aip.org/</t>
  </si>
  <si>
    <t>Database of journals and proceedings published by various science and engineering societies.</t>
  </si>
  <si>
    <t>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t>
  </si>
  <si>
    <t>SIAM Journals</t>
  </si>
  <si>
    <t>Society for Industrial and Applied Mathematics</t>
  </si>
  <si>
    <t>http://epubs.siam.org/</t>
  </si>
  <si>
    <t>Online digital library of publications of the SIAM from 1997-present.</t>
  </si>
  <si>
    <t>An online digital library of publications of the Society for Industrial and Applied Mathematics, from 1997-present. Use the Advanced Search feature to search multiple titles simultaneously.</t>
  </si>
  <si>
    <t>SIAM Locus</t>
  </si>
  <si>
    <t>http://locus.siam.org/</t>
  </si>
  <si>
    <t>Online digital library of publications of the SIAM from 1952-1996.</t>
  </si>
  <si>
    <t xml:space="preserve">Online digital library of publications of the Society for Industrial and Applied Mathematics from 1952-1996. Browse by journal title or use the Advanced Search feature to search multiple titles simultaneously. </t>
  </si>
  <si>
    <t>Smithsonian Photography Initiative</t>
  </si>
  <si>
    <t>http://photography.si.edu/</t>
  </si>
  <si>
    <t>Smithsonian</t>
  </si>
  <si>
    <t>Image database of over 13 million images from Smithsonian museums and research centers.</t>
  </si>
  <si>
    <t xml:space="preserve">Image database featuring more than 13 million images in some seven hundred collections throughout Smithsonian museums and research centers. Subject areas include aerospace engineering, history, manufacturing, and the humanities. </t>
  </si>
  <si>
    <t>Social Services Abstracts</t>
  </si>
  <si>
    <t>http://www.csa.com/htbin/dbrng.cgi?username=paulg&amp;access=paulg20&amp;db=ssa-set-c</t>
  </si>
  <si>
    <t>Abstracts of current research on social work, human services, and related areas.</t>
  </si>
  <si>
    <t>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t>
  </si>
  <si>
    <t>Sociological Abstracts</t>
  </si>
  <si>
    <t>http://www.csa.com/htbin/dbrng.cgi?username=paulg&amp;access=paulg20&amp;db=socioabs-set-c</t>
  </si>
  <si>
    <t>Index of over 1,800 social and behavioral sciences journals.</t>
  </si>
  <si>
    <t>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t>
  </si>
  <si>
    <t>Solid State and Superconductivity Abstracts</t>
  </si>
  <si>
    <t>http://www.csa.com/htbin/dbrng.cgi?username=paulg&amp;access=paulg20&amp;db=solid-state-set-c</t>
  </si>
  <si>
    <t>Covers journal literature on solid state materials and superconductivity.</t>
  </si>
  <si>
    <t>SPIRES-HEP</t>
  </si>
  <si>
    <t>High-Energy Physics Literature Database</t>
  </si>
  <si>
    <t>http://www.slac.stanford.edu/spires/hep/</t>
  </si>
  <si>
    <t>au</t>
  </si>
  <si>
    <t>Stanford University</t>
  </si>
  <si>
    <t>Index of journal literature on high-energy physics.</t>
  </si>
  <si>
    <t>More than 500,000 high-energy physics related articles, including journal papers, preprints, e-prints, technical reports, conference papers and theses, comprehensively indexed by the SLAC and DESY libraries since 1974.</t>
  </si>
  <si>
    <t>SpringerLink</t>
  </si>
  <si>
    <t>http://www.springerlink.com/home/main.mpx</t>
  </si>
  <si>
    <t>Springer</t>
  </si>
  <si>
    <t>Online access to journals published by Springer.</t>
  </si>
  <si>
    <t>Provides electronic access to the complete contents of a growing collection of SpringerLink journals in subjects including Mathematics and Computer Science (formerly Kluwer Journals).</t>
  </si>
  <si>
    <t>State and County QuickFacts</t>
  </si>
  <si>
    <t>http://quickfacts.census.gov/qfd/</t>
  </si>
  <si>
    <t>US Census Bureau</t>
  </si>
  <si>
    <t>Facts about people, business, and geography from the U.S Census.</t>
  </si>
  <si>
    <t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t>
  </si>
  <si>
    <t>Stat-USA</t>
  </si>
  <si>
    <t>http://www.stat-usa.gov/</t>
  </si>
  <si>
    <t>Available only at the Galvin Library. Please see a librarian at the Reference Desk for username and password.</t>
  </si>
  <si>
    <t>Federal business, trade and economic information from the U.S. Dept. of Commerce.</t>
  </si>
  <si>
    <t>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t>
  </si>
  <si>
    <t>Sustainability Science Abstracts</t>
  </si>
  <si>
    <t>http://www.csa.com/htbin/dbrng.cgi?username=paulg&amp;access=paulg20&amp;db=sustain-set-c.php</t>
  </si>
  <si>
    <t>Indexes literature on the management of human use and conservation of natural resources.</t>
  </si>
  <si>
    <t>Teacher Reference Center</t>
  </si>
  <si>
    <t>http://search.EBSCOhost.com/login.asp?profile=web&amp;defaultdb=trh</t>
  </si>
  <si>
    <t>Indexing and abstracts for teacher and administrator journals and magazines.</t>
  </si>
  <si>
    <t>Provides indexing and abstracts for more than 270 of the most popular teacher and administrator journals and magazines to assist professional educators.</t>
  </si>
  <si>
    <t>Thesaurus.com</t>
  </si>
  <si>
    <t>http://thesaurus.reference.com/</t>
  </si>
  <si>
    <t>Online version of Roget's II: The New Thesaurus.</t>
  </si>
  <si>
    <t>ThomasNet</t>
  </si>
  <si>
    <t>http://www.thomasnet.com/</t>
  </si>
  <si>
    <t>Thomas Publishing Company</t>
  </si>
  <si>
    <t>Requires free personal registration</t>
  </si>
  <si>
    <t>Online version of the Thomas Register of American Manufacturers.</t>
  </si>
  <si>
    <t xml:space="preserve">Online version of the Thomas Register of American Manufacturers, a buying guide offering sourcing information on industrial products and services, along with comprehensive specifications and detailed product information from thousands of manufacturers. </t>
  </si>
  <si>
    <t>Toxicology Abstracts</t>
  </si>
  <si>
    <t>http://www.csa.com/htbin/dbrng.cgi?username=paulg&amp;access=paulg20&amp;db=toxicology-set-c</t>
  </si>
  <si>
    <t>Abstracts and citations of scientific literature covering all fields of toxicology.</t>
  </si>
  <si>
    <t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t>
  </si>
  <si>
    <t>TOXLINE</t>
  </si>
  <si>
    <t>http://www.csa.com/htbin/dbrng.cgi?username=paulg&amp;access=paulg20&amp;db=toxline-set-c</t>
  </si>
  <si>
    <t>Offers access to information in all areas of toxicology.</t>
  </si>
  <si>
    <t>TRIS - NTL Integrated Search</t>
  </si>
  <si>
    <t>Transportation Research Information Services</t>
  </si>
  <si>
    <t>http://ntlsearch.bts.gov/tris/index.do</t>
  </si>
  <si>
    <t>Transportation Research Board</t>
  </si>
  <si>
    <t>Search the TRIS database and NTL Catalog.</t>
  </si>
  <si>
    <t>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t>
  </si>
  <si>
    <t xml:space="preserve">U.S. Supreme Court Records and Briefs, 1832-1978 </t>
  </si>
  <si>
    <t>http://find.galegroup.com/menu/start?userGroupName=chic40381&amp;prod=SCRB</t>
  </si>
  <si>
    <t>Online collection of records and briefs brought before the U.S. Supreme Court from 1832-1978.</t>
  </si>
  <si>
    <t>Containing nearly 11 million pages of records and briefs brought before the U.S. Supreme Court in the period 1832-1978, this product provides an essential primary source tool for the study of all aspects of American history as well as the U.S. judicial system.</t>
  </si>
  <si>
    <t>University of Virginia Electronic Text Center Collections</t>
  </si>
  <si>
    <t>http://etext.lib.virginia.edu/collections/search/</t>
  </si>
  <si>
    <t>University of Virginia</t>
  </si>
  <si>
    <t>Access to over 10,000 publicly accessible e-books.</t>
  </si>
  <si>
    <t>The Electronic Text Center's holdings include approximately 10,000 publicly accessible e-books in twelve languages, with more than 164,000 related images (book illustrations, covers, manuscripts, newspaper pages, page images of Special Collections books, museum objects, etc).</t>
  </si>
  <si>
    <t>USA Trade Online</t>
  </si>
  <si>
    <t>http://www.usatradeonline.gov/</t>
  </si>
  <si>
    <t>Export and import information on more than 18,000 commodities worldwide.</t>
  </si>
  <si>
    <t>The Foreign Trade Division of the U.S. Census Bureau and STAT-USA compile accurate and timely U.S. Merchandise Trade data, providing export and import information on more than 18,000 commodities worldwide.</t>
  </si>
  <si>
    <t>USPTO</t>
  </si>
  <si>
    <t>U.S. Patent and Trademark Office</t>
  </si>
  <si>
    <t>http://www.uspto.gov/</t>
  </si>
  <si>
    <t>United States Patent and Trademark Office</t>
  </si>
  <si>
    <t>Database of all U.S. patents issued since 1790.</t>
  </si>
  <si>
    <t>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t>
  </si>
  <si>
    <t>Virology and AIDS Abstracts</t>
  </si>
  <si>
    <t>http://www.csa.com/htbin/dbrng.cgi?username=paulg&amp;access=paulg20&amp;db=virology-set-c</t>
  </si>
  <si>
    <t>Database of literature related to virology and AIDS research.</t>
  </si>
  <si>
    <t>Voices of the Holocaust</t>
  </si>
  <si>
    <t>http://voices.iit.edu/</t>
  </si>
  <si>
    <t>Text and audio of interviews with victims of the Nazi Holocaust.</t>
  </si>
  <si>
    <t>Digital collection offering access to text and audio of first-hand interviews conducted in 1946 with victims of the Nazi holocaust by former IIT professor David P. Boder.</t>
  </si>
  <si>
    <t>Wall Street Journal</t>
  </si>
  <si>
    <t>http://online.wsj.com/</t>
  </si>
  <si>
    <t>Dow Jones</t>
  </si>
  <si>
    <t>Must create &lt;a href=\http://ezproxy.gl.iit.edu/loggedin/dj.htm\"&gt;personal login&lt;/a&gt; from IIT link (Currently works only from on-campus)."</t>
  </si>
  <si>
    <t>Access all WSJ content online from the Dow Jones website.</t>
  </si>
  <si>
    <t xml:space="preserve">Access all WSJ content online from the Dow Jones website in the original online layout.Online coverage of the popular business newspaper, including analysis tools and news from the past four years. </t>
  </si>
  <si>
    <t>Water Resources Abstracts</t>
  </si>
  <si>
    <t>http://www.csa.com/htbin/dbrng.cgi?username=paulg&amp;access=paulg20&amp;db=water-resources-set-c</t>
  </si>
  <si>
    <t xml:space="preserve">Index of technical and scientific literature on water-related topics </t>
  </si>
  <si>
    <t>Web of Science</t>
  </si>
  <si>
    <t>http://apps.webofknowledge.com/WOS_GeneralSearch_input.do?product=WOS&amp;search_mode=GeneralSearch</t>
  </si>
  <si>
    <t>ISI</t>
  </si>
  <si>
    <t>Limited to three (3) concurrent users</t>
  </si>
  <si>
    <t>Comprehensive index of journal literature in the sciences.</t>
  </si>
  <si>
    <t>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t>
  </si>
  <si>
    <t>WELDASEARCH</t>
  </si>
  <si>
    <t>http://www.csa.com/htbin/dbrng.cgi?username=paulg&amp;access=paulg20&amp;db=weldasearch-set-c</t>
  </si>
  <si>
    <t>Abstracts of scientific literature on welding and allied processes.</t>
  </si>
  <si>
    <t>Wiley InterScience</t>
  </si>
  <si>
    <t>http://www3.interscience.wiley.com/browse/?type=JOURNAL&amp;titles=1</t>
  </si>
  <si>
    <t>John Wiley &amp; Sons</t>
  </si>
  <si>
    <t>Access to leading scientific, technical, medical journals.</t>
  </si>
  <si>
    <t>Electronic access to over 300 leading scientific, technical, medical, and professional journals, plus major reference works, the acclaimed Current Protocols laboratory manuals, and the full text of select Wiley print books online.</t>
  </si>
  <si>
    <t>WilsonSelect</t>
  </si>
  <si>
    <t>http://newfirstsearch.oclc.org/dbname=WilsonSelectPlus;FSIP</t>
  </si>
  <si>
    <t>Interdisciplinary database covering journal literature in the sciences and humanities.</t>
  </si>
  <si>
    <t>This database is comprised of records from the following H.W. Wilson databases: Readers' Guide Abstracts, Social Sciences Abstracts, Humanities Abstracts, General Science Abstracts and Wilson Business Abstracts.</t>
  </si>
  <si>
    <t>World Almanac</t>
  </si>
  <si>
    <t>http://newfirstsearch.oclc.org/dbname=WorldAlmanac;FSIP</t>
  </si>
  <si>
    <t>Online reference source with encyclopedia and almanac content.</t>
  </si>
  <si>
    <t>Online reference source featuring content from Funk &amp;amp; Wagnalls New Encyclopedia and four almanacs.</t>
  </si>
  <si>
    <t>WorldCat</t>
  </si>
  <si>
    <t>http://newfirstsearch.oclc.org/dbname=WorldCat;FSIP</t>
  </si>
  <si>
    <t>Online catalog featuring the holdings of more than 8,000 libraries worldwide.</t>
  </si>
  <si>
    <t>WorldCat is an online catalog that contains the holdings of more than 8,000 libraries worldwide. You can place requests in WorldCat for materials not owned by IIT or I-Share Libraries.</t>
  </si>
  <si>
    <t>National Geographic MapMachine</t>
  </si>
  <si>
    <t>http://plasma.nationalgeographic.com/mapmachine/index.html</t>
  </si>
  <si>
    <t>National Geographic</t>
  </si>
  <si>
    <t>Satellite photos, street maps, and more.</t>
  </si>
  <si>
    <t>Satellite photos, street maps, and more are available in this online atlas.</t>
  </si>
  <si>
    <t>Government Documents Online Map Directory</t>
  </si>
  <si>
    <t>http://guides.library.iit.edu/content.php?pid=27903&amp;sid=322018</t>
  </si>
  <si>
    <t>Comprehensive directory of web-based and print map resources.</t>
  </si>
  <si>
    <t>Comprehensive directory of web-based and print map resources. Maintained by the Galvin Library Government Documents Depository staff.</t>
  </si>
  <si>
    <t>World's Columbian Exposition of 1893</t>
  </si>
  <si>
    <t>http://columbus.gl.iit.edu/</t>
  </si>
  <si>
    <t>Online collection of illustrations and images from the Chicago World's Fair.</t>
  </si>
  <si>
    <t>An online collection of over 12,000 illustrations and full-text images from four rare nineteenth-century volumes about the Chicago World's Fair.</t>
  </si>
  <si>
    <t>IEEE Standards</t>
  </si>
  <si>
    <t>http://ieeexplore.ieee.org/xpl/standards.jsp</t>
  </si>
  <si>
    <t>Online access to standards published by the IEEE.</t>
  </si>
  <si>
    <t>Online access to standards published by the Institute of Electrical and Electronics Engineers. Search by standard number, keyword, or industry.</t>
  </si>
  <si>
    <t>Galvin Library Public Administration Index</t>
  </si>
  <si>
    <t>http://guides.library.iit.edu/content.php?pid=27903&amp;sid=205275</t>
  </si>
  <si>
    <t>Listings of widely used policy analysis and legislative websites.</t>
  </si>
  <si>
    <t>Prepared by the Government Documents Depository staff at the Paul V. Galvin Library, this index provides access to the most widely used publicly available policy analysis and legislative websites.</t>
  </si>
  <si>
    <t>Business and Company Resource Center</t>
  </si>
  <si>
    <t>http://infotrac.galegroup.com/itweb/chic40381?db=BCRC</t>
  </si>
  <si>
    <t>Gale Cengage</t>
  </si>
  <si>
    <t>Search this database to find detailed company and industry news and information.</t>
  </si>
  <si>
    <t>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t>
  </si>
  <si>
    <t>Standard &amp;amp; Poor's NetAdvantage</t>
  </si>
  <si>
    <t>http://www.netadvantage.standardandpoors.com</t>
  </si>
  <si>
    <t>Standard &amp; Poor's</t>
  </si>
  <si>
    <t>Business information, company profiles, financial reports</t>
  </si>
  <si>
    <t>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t>
  </si>
  <si>
    <t>PsycEXTRA</t>
  </si>
  <si>
    <t>http://search.ebscohost.com/login.asp?profile=web&amp;defaultdb=pxh</t>
  </si>
  <si>
    <t>Database of gray literature in psychology.</t>
  </si>
  <si>
    <t>PsycEXTRA is a gray literature database, meaning most of the content was written for professionals and disseminated outside of peer-reviewed journals. Documents include newsletters, magazines, newspapers, technical and annual reports, government reports, consumer brochures, and more.</t>
  </si>
  <si>
    <t>HaPI</t>
  </si>
  <si>
    <t>Health &amp;amp; Psychosocial Instruments</t>
  </si>
  <si>
    <t>http://search.ebscohost.com/login.asp?profile=web&amp;defaultdb=hpi</t>
  </si>
  <si>
    <t>Covers information about behavioral measurement instruments.</t>
  </si>
  <si>
    <t>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t>
  </si>
  <si>
    <t>COS Funding Opportunities</t>
  </si>
  <si>
    <t>http://search.proquest.com/fundingops</t>
  </si>
  <si>
    <t>Database of funding opportunities for grants, fellowships, prizes, etc.</t>
  </si>
  <si>
    <t>A database of funding opportunities for grants, fellowships, prizes, etc.  Discover who's doing what -- current research activity, funding received, publications, patents, new positions and more.</t>
  </si>
  <si>
    <t>CAMIO</t>
  </si>
  <si>
    <t>Catalog of Art Museum Images Online</t>
  </si>
  <si>
    <t>http://camio.oclc.org/</t>
  </si>
  <si>
    <t>OCLC</t>
  </si>
  <si>
    <t>Online collection of high-quality art images.</t>
  </si>
  <si>
    <t>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t>
  </si>
  <si>
    <t>Illinois Natural Resources Geospatial Data Clearinghouse</t>
  </si>
  <si>
    <t>http://www.isgs.uiuc.edu/nsdihome/</t>
  </si>
  <si>
    <t>Illinois State Geological Survey</t>
  </si>
  <si>
    <t>Topographic maps and other GIS data for Illinois.</t>
  </si>
  <si>
    <t>David Rumsey Historical Map Collection</t>
  </si>
  <si>
    <t>http://www.davidrumsey.com/</t>
  </si>
  <si>
    <t>Cartography Associates</t>
  </si>
  <si>
    <t>Online collection of rare 18th and 19th century maps.</t>
  </si>
  <si>
    <t>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t>
  </si>
  <si>
    <t>Historical Statistics of the United States</t>
  </si>
  <si>
    <t>http://hsus.cambridge.org/</t>
  </si>
  <si>
    <t>Definitive source for quantitative facts of American history.</t>
  </si>
  <si>
    <t>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t>
  </si>
  <si>
    <t>SAGE eReference Encyclopedias</t>
  </si>
  <si>
    <t>http://sage-ereference.com/</t>
  </si>
  <si>
    <t>Online versions of over 60 encyclopedias related to social sciences, psychology, and business.</t>
  </si>
  <si>
    <t>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t>
  </si>
  <si>
    <t>Google Book Search</t>
  </si>
  <si>
    <t>http://books.google.com</t>
  </si>
  <si>
    <t>Search the full-text of books digitized by Google. Some full text available.</t>
  </si>
  <si>
    <t>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t>
  </si>
  <si>
    <t>Open-Access Text Archive</t>
  </si>
  <si>
    <t>http://www.archive.org/details/texts</t>
  </si>
  <si>
    <t>Internet Archive</t>
  </si>
  <si>
    <t>An online of collection of e-books curated by the Internet Archive.</t>
  </si>
  <si>
    <t>This site features a wide selection of e-books that have been contributed from publishers, universities, and individuals. Most of the texts are in DJVU or PDF format. Free to read, download, and print.</t>
  </si>
  <si>
    <t>ICON: International Coalition on Newspapers</t>
  </si>
  <si>
    <t>http://icon.crl.edu/digitization.htm</t>
  </si>
  <si>
    <t>International Coalition on Newspapers</t>
  </si>
  <si>
    <t>International directory of digital newspaper collections.</t>
  </si>
  <si>
    <t>Palgrave Dictionary of Economics</t>
  </si>
  <si>
    <t>http://www.dictionaryofeconomics.com/dictionary</t>
  </si>
  <si>
    <t>British Economist R. H. Inglis Palgrave was the original author of this dictionary, as well as an early editor of &lt;i&gt;The Economist&lt;/i&gt;.</t>
  </si>
  <si>
    <t>http://www.dictionaryofeconomics.com/help/default</t>
  </si>
  <si>
    <t>ARTstor</t>
  </si>
  <si>
    <t>http://library.artstor.org/</t>
  </si>
  <si>
    <t>ARTstor Inc.</t>
  </si>
  <si>
    <t>Digital library of images in the arts, architecture, humanities, and social sciences.</t>
  </si>
  <si>
    <t>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t>
  </si>
  <si>
    <t>Safari Books Online</t>
  </si>
  <si>
    <t>http://proquestcombo.safaribooksonline.com/?uicode=illinstt</t>
  </si>
  <si>
    <t>Only 2 users can be logged into the database at one time.</t>
  </si>
  <si>
    <t>E-books covering all aspects of computer science and information technology.</t>
  </si>
  <si>
    <t>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t>
  </si>
  <si>
    <t>ArchiveGrid</t>
  </si>
  <si>
    <t>http://archivegrid.com</t>
  </si>
  <si>
    <t>Index of historical documents, personal papers, and family histories held in archives around the world.</t>
  </si>
  <si>
    <t>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t>
  </si>
  <si>
    <t>OAIster</t>
  </si>
  <si>
    <t>http://www.oaister.worldcat.org/</t>
  </si>
  <si>
    <t>An online catalog of a wide variety of digital resources, created by (or related to) libraries and universities.</t>
  </si>
  <si>
    <t>OAIster is a searchable online catalog of digital resources, including digitized (i.e., scanned) books and articles, born-digital texts, audio files (e.g., wav, mp3), images (e.g., tiff, gif), movies (e.g., mp4, quicktime), and datasets (e.g., downloadable statistics files).</t>
  </si>
  <si>
    <t>Google News Archive Search</t>
  </si>
  <si>
    <t>http://news.google.com/archivesearch</t>
  </si>
  <si>
    <t>Search historical archives of newspapers and other news sources.</t>
  </si>
  <si>
    <t>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t>
  </si>
  <si>
    <t>Chicago Building Code</t>
  </si>
  <si>
    <t>http://www.amlegal.com/library/il/chicago.shtml</t>
  </si>
  <si>
    <t>American Legal Publishing Corporation</t>
  </si>
  <si>
    <t>Access building codes and zoning info for the city of Chicago</t>
  </si>
  <si>
    <t>This portal offers access to Chicago's Municipal Code, Chicago Zoning Ordinance and Land Use Ordinance, and Building Code.</t>
  </si>
  <si>
    <t>NSSN.org</t>
  </si>
  <si>
    <t>National Resource for Global Standards</t>
  </si>
  <si>
    <t>http://www.nssn.org</t>
  </si>
  <si>
    <t>American National Standards Institute (ANSI)</t>
  </si>
  <si>
    <t>Search engine for standards info (does not offer full text).</t>
  </si>
  <si>
    <t>National Map Viewer</t>
  </si>
  <si>
    <t>http://nmviewogc.cr.usgs.gov/</t>
  </si>
  <si>
    <t>U.S. Geological Survey</t>
  </si>
  <si>
    <t>Find U.S. topographic and elevation data</t>
  </si>
  <si>
    <t>The National Map is a collaborative effort among the USGS and other Federal, State, and local partners to improve and deliver topographic information for the Nation. Combines high-quality geospatial data and information from the eight National Data sets.</t>
  </si>
  <si>
    <t>Synthesis Lectures on Biomedical Engineering</t>
  </si>
  <si>
    <t>http://www.morganclaypool.com/page/bec</t>
  </si>
  <si>
    <t>Morgan &amp;amp; Claypool Publishers</t>
  </si>
  <si>
    <t>E-books and lectures covering current topics in biomedical engineering.</t>
  </si>
  <si>
    <t>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t>
  </si>
  <si>
    <t>Mergent Online</t>
  </si>
  <si>
    <t>http://www.mergentonline.com/compsearch.asp</t>
  </si>
  <si>
    <t>Mergent, Inc.</t>
  </si>
  <si>
    <t>Provides info on U.S. and international companies; daily updates from NYSE, AMEX and Nasdaq exchanges; industry and executive biographies.</t>
  </si>
  <si>
    <t>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t>
  </si>
  <si>
    <t>Tests in Print</t>
  </si>
  <si>
    <t>http://search.EBSCOhost.com/login.asp?profile=web&amp;defaultdb=lph</t>
  </si>
  <si>
    <t>Comprehensive bibliography of all known commercially available mental &amp;amp; psychological tests</t>
  </si>
  <si>
    <t>GRC Theses List</t>
  </si>
  <si>
    <t>https://docs.google.com/spreadsheet/ccc?key=0AlWl9zEZsWf_dGpuVGR0eDAyODN3ZUgtVF9PQkJnckE</t>
  </si>
  <si>
    <t>Graham Resource Center</t>
  </si>
  <si>
    <t>Information on theses by students of IIT's College of Architecture.</t>
  </si>
  <si>
    <t>This spreadsheet includes information on the authors, titles, and dates of publication of theses written by graduates of the College of Architecture at IIT.</t>
  </si>
  <si>
    <t>Springer eBooks</t>
  </si>
  <si>
    <t>http://www.springerlink.com/books</t>
  </si>
  <si>
    <t>Find e-books on architecture, design, business, medicine, and life sciences</t>
  </si>
  <si>
    <t>Springer eBooks features the full text of academic publications covering the following subjects: Architecture, Design, Business, Economics, Behavioral Science, Biomedical &amp;amp; Life Sciences, and Medicine.</t>
  </si>
  <si>
    <t>WorldCat Dissertations and Theses</t>
  </si>
  <si>
    <t>http://newfirstsearch.oclc.org/dbname=WorldCatDissertations;FSIP</t>
  </si>
  <si>
    <t>Search dissertations and theses held in over 8,000 libraries worldwide.</t>
  </si>
  <si>
    <t>Search for dissertations and theses held in over 8,000 libraries worldwide. Covers all disciplines and subject areas.</t>
  </si>
  <si>
    <t>Gale Virtual Reference Library</t>
  </si>
  <si>
    <t>http://infotrac.galegroup.com/itweb/chic7029?db=GVRL</t>
  </si>
  <si>
    <t>A database of encyclopedias, almanacs, and specialized reference sources. Fully searchable across all files.</t>
  </si>
  <si>
    <t xml:space="preserve">A collection of electronic reference books on a variety of topics. Includes encyclopedia entries for arts, business, environment, history, religion, science and technology, as well as general reference topics. A good place to get a basic overview of a topic. </t>
  </si>
  <si>
    <t>Mango Languages</t>
  </si>
  <si>
    <t>http://libraries.mangolanguages.com/iit/start</t>
  </si>
  <si>
    <t>Mango is an online language-learning system that teaches conversation skills for several different languages.</t>
  </si>
  <si>
    <t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t>
  </si>
  <si>
    <t>Thomas Register</t>
  </si>
  <si>
    <t>An online directory of industrial product information covering 650,000 distributors, manufacturers and service companies within more than 67,000 industrial categories.</t>
  </si>
  <si>
    <t>IIT Digital Repository</t>
  </si>
  <si>
    <t>share.iit.edu</t>
  </si>
  <si>
    <t xml:space="preserve"> http://repository.iit.edu</t>
  </si>
  <si>
    <t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t>
  </si>
  <si>
    <t>Legal Resources</t>
  </si>
  <si>
    <t>http://kentlaw.iit.edu/library</t>
  </si>
  <si>
    <t xml:space="preserve">IIT's Kent College of Law provides access to Westlaw, HeinOnline, and other legal resources through the Downtown Campus Library. Law students should access these resources there. </t>
  </si>
  <si>
    <t>TRAIL</t>
  </si>
  <si>
    <t>Technical Report Archive And Image Library</t>
  </si>
  <si>
    <t>http://www.technicalreports.org</t>
  </si>
  <si>
    <t>The Technical Report Archive &amp; Image Library (TRAIL) is an initiative led by the University of Arizona in collaboration with CRL and other interested agencies to identify, digitize, archive, and provide access to federal technical reports issued prior to 1975</t>
  </si>
  <si>
    <t>Share.iit</t>
  </si>
  <si>
    <t>http://share.iit.edu</t>
  </si>
  <si>
    <t>Illinois Institute of Technology</t>
  </si>
  <si>
    <t>Most content is publically accessible. However, you must register with your IIT email address to submit content.</t>
  </si>
  <si>
    <t>IIT's institutional repository, a digital archive of faculty, student, and staff research and scholarship.</t>
  </si>
  <si>
    <t>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t>
  </si>
  <si>
    <t>SSRN - Social Science Research Network</t>
  </si>
  <si>
    <t>http://papers.ssrn.com/sol3/</t>
  </si>
  <si>
    <t>Social Science Research Network</t>
  </si>
  <si>
    <t xml:space="preserve">A massive and mostly free database of scholarly working papers and forthcoming papers in the social sciences, political science, governance, and management. </t>
  </si>
  <si>
    <t>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t>
  </si>
  <si>
    <t>National Academies Press</t>
  </si>
  <si>
    <t>http://www.nap.edu/</t>
  </si>
  <si>
    <t>NAP</t>
  </si>
  <si>
    <t>More than 4000 titles available from the NAP on a wide range of topics in science, engineering, and health.</t>
  </si>
  <si>
    <t>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t>
  </si>
  <si>
    <t>ProQuest SciTech Collection</t>
  </si>
  <si>
    <t>http://search.proquest.com/technologycollection</t>
  </si>
  <si>
    <t>A comprehensive collection of databases for the natural sciences and technology.</t>
  </si>
  <si>
    <t>The Times (London)</t>
  </si>
  <si>
    <t>http://find.galegroup.com/ttda/start.do?userGroupName=chic7029</t>
  </si>
  <si>
    <t xml:space="preserve">Complete issues of The Times (London) from 1785 to 2006. </t>
  </si>
  <si>
    <t xml:space="preserve">Complete issues of The Times (London) from 1785 to 2006. Includes headlines, articles, images, editorials, advertisements and from the United Kingdom's paper of record. </t>
  </si>
  <si>
    <t>PrivCo</t>
  </si>
  <si>
    <t>http://www.privco.com</t>
  </si>
  <si>
    <t>PrivCo is a source for business and financial research on major privately-held companies (MPCs).</t>
  </si>
  <si>
    <t>PrivCo is a source for business and financial research on major privately-held companies (MPCs). It combines financial analysis, editorials, market research, and PrivCo's data technology for over 150,000 private companies in the United States.</t>
  </si>
  <si>
    <t>Oxford Islamic Studies Online</t>
  </si>
  <si>
    <t>http://www.oxfordislamicstudies.com/</t>
  </si>
  <si>
    <t>Features reference content and commentary by renowned scholars in areas such as global Islamic history, concepts, people, practices, politics, and culture.</t>
  </si>
  <si>
    <t>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t>
  </si>
  <si>
    <t>SpringerMaterials</t>
  </si>
  <si>
    <t>http://www.springermaterials.com</t>
  </si>
  <si>
    <t>Materials data based on the Landolt-B&amp;#246;rnstein New Series.</t>
  </si>
  <si>
    <t>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t>
  </si>
  <si>
    <t>Barron's</t>
  </si>
  <si>
    <t>http://online.barrons.com/</t>
  </si>
  <si>
    <t>Weekly newspaper covering U.S. financial news.</t>
  </si>
  <si>
    <t xml:space="preserve">Barron's publishes business and financial market news. It is published weekly and includes a summary of the previous week's market-affecting items. </t>
  </si>
  <si>
    <t>Earthquake Engineering Online Archive</t>
  </si>
  <si>
    <t>EEOA</t>
  </si>
  <si>
    <t>http://nisee.berkeley.edu/elibrary/</t>
  </si>
  <si>
    <t>&lt;a href=\/ask/\"&gt;Contact the library&lt;/a&gt; for access to this database."</t>
  </si>
  <si>
    <t>The Earthquake Engineering Online Archive is a database of significant, publicly-funded research and development literature, photographs, data, and software in earthquake, structural, and geotechnical engineering.</t>
  </si>
  <si>
    <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t>
  </si>
  <si>
    <t>id</t>
  </si>
  <si>
    <t>title</t>
  </si>
  <si>
    <t>altTitle</t>
  </si>
  <si>
    <t>url</t>
  </si>
  <si>
    <t>isActive</t>
  </si>
  <si>
    <t>isRestricted</t>
  </si>
  <si>
    <t>description</t>
  </si>
  <si>
    <t>internalNote</t>
  </si>
  <si>
    <t>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</si>
  <si>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t>
  </si>
  <si>
    <t>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t>
  </si>
  <si>
    <t>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t>
  </si>
  <si>
    <t>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t>
  </si>
  <si>
    <t>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t>
  </si>
  <si>
    <t>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t>
  </si>
  <si>
    <t>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t>
  </si>
  <si>
    <t>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t>
  </si>
  <si>
    <t>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t>
  </si>
  <si>
    <t>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t>
  </si>
  <si>
    <t>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t>
  </si>
  <si>
    <t>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t>
  </si>
  <si>
    <t>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t>
  </si>
  <si>
    <t>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</si>
  <si>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t>
  </si>
  <si>
    <t>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t>
  </si>
  <si>
    <t>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t>
  </si>
  <si>
    <t>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t>
  </si>
  <si>
    <t>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t>
  </si>
  <si>
    <t>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t>
  </si>
  <si>
    <t>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t>
  </si>
  <si>
    <t>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t>
  </si>
  <si>
    <t>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t>
  </si>
  <si>
    <t>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t>
  </si>
  <si>
    <t>Entomology Abstracts covers recent research reports on entomology, with coverage including insects, arachnids, myriapods, onychophorans, and terrestrial isopods.</t>
  </si>
  <si>
    <t>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t>
  </si>
  <si>
    <t>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t>
  </si>
  <si>
    <t>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t>
  </si>
  <si>
    <t>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t>
  </si>
  <si>
    <t>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t>
  </si>
  <si>
    <t>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t>
  </si>
  <si>
    <t>Online version of the popular almanac. Information Please has been providing authoritative answers to all kinds of factual questions since 1938 -- first as a popular radio quiz show, then starting in 1947 as an annual almanac, and since 1998 on the Internet.</t>
  </si>
  <si>
    <t>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t>
  </si>
  <si>
    <t>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t>
  </si>
  <si>
    <t>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t>
  </si>
  <si>
    <t>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t>
  </si>
  <si>
    <t>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t>
  </si>
  <si>
    <t>Electronic editions of over 700 valuable local, regional, and national U.S. newspapers and magazines. Each paper provides unique coverage of local and regional news, including companies, politics, sports, industries, cultural activities, and people in the community. Paid ads are excluded.</t>
  </si>
  <si>
    <t>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t>
  </si>
  <si>
    <t>Hierarchical thesaurus of nearly 900,000 places. The TGN provides vernacular and English names of places, variant names in other languages, and whenever possible, historical names. The record for a place may also contain geographical coordinates, dates, and notes.</t>
  </si>
  <si>
    <t>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t>
  </si>
  <si>
    <t>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t>
  </si>
  <si>
    <t>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t>
  </si>
  <si>
    <t>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t>
  </si>
  <si>
    <t>Science.gov is a gateway to over 50 million pages of authoritative selected science information provided by U.S. government agencies, including research and development results.</t>
  </si>
  <si>
    <t>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t>
  </si>
  <si>
    <t>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t>
  </si>
  <si>
    <t>Thesaurus.com is produced by Lexico Publishing Group, LLC, a provider of language reference products and services on the Internet. The thesaurus that appears on this site is Roget's II: The New Thesaurus.</t>
  </si>
  <si>
    <t>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t>
  </si>
  <si>
    <t>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t>
  </si>
  <si>
    <t>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t>
  </si>
  <si>
    <t>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t>
  </si>
  <si>
    <t>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t>
  </si>
  <si>
    <t>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t>
  </si>
  <si>
    <t>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t>
  </si>
  <si>
    <t>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t>
  </si>
  <si>
    <t>Journals published by the American Physical Society, including Physical Review and Physical Review Letters.</t>
  </si>
  <si>
    <t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t>
  </si>
  <si>
    <t xml:space="preserve">A comprehensive natural and applied science research collection. Includes databases collections for the following subject areas: Agriculture, Aquatic, Atmospheric, Biology, Earth,, Environmental Science, Materials,  Aerospace, Engineering, Computer Science. </t>
  </si>
  <si>
    <t>subjects</t>
  </si>
  <si>
    <t>formats</t>
  </si>
  <si>
    <t>JRN</t>
  </si>
  <si>
    <t>TEC, JRN</t>
  </si>
  <si>
    <t>IMG</t>
  </si>
  <si>
    <t>NWS</t>
  </si>
  <si>
    <t>BOK</t>
  </si>
  <si>
    <t>BOK,EBK</t>
  </si>
  <si>
    <t>LAN</t>
  </si>
  <si>
    <t>REF</t>
  </si>
  <si>
    <t>EBK</t>
  </si>
  <si>
    <t>JRN,IMG</t>
  </si>
  <si>
    <t>STN</t>
  </si>
  <si>
    <t>GOV</t>
  </si>
  <si>
    <t>JRN,TEC</t>
  </si>
  <si>
    <t>REF,EBK</t>
  </si>
  <si>
    <t>DIS</t>
  </si>
  <si>
    <t>TEC</t>
  </si>
  <si>
    <t>PAT</t>
  </si>
  <si>
    <t>JRN,BOK,EBK</t>
  </si>
  <si>
    <t>JRN, STN</t>
  </si>
  <si>
    <t>JRN, DIS, TEC</t>
  </si>
  <si>
    <t>BOK,REF</t>
  </si>
  <si>
    <t>TEC,GOV</t>
  </si>
  <si>
    <t>MAP</t>
  </si>
  <si>
    <t>JRN,DIS</t>
  </si>
  <si>
    <t>DIG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</si>
</sst>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
  </numFmts>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
    <xf numFmtId="0" fontId="0" fillId="0" borderId="0" xfId="0"/>
    <xf numFmtId="164" fontId="0" fillId="0" borderId="0" xfId="0" applyNumberFormat="1" applyAlignment="1"/>
    <xf numFmtId="0" fontId="0" fillId="0" borderId="0" xfId="0" applyAlignment="1"/>
    <xf numFmtId="49" fontId="0" fillId="0" borderId="0" xfId="0" applyNumberFormat="1" applyAlignment="1"/>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61"/>
  <sheetViews>
    <sheetView topLeftCell="A88" workbookViewId="0">
      <selection activeCell="C111" sqref="C111"/>
    </sheetView>
  </sheetViews>
  <sheetFormatPr defaultRowHeight="15" x14ac:dyDescent="0.25"/>
  <sheetData>
    <row r="1" spans="1:1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25">
      <c r="A2">
        <v>3</v>
      </c>
      <c r="B2" t="s">
        <v>17</v>
      </c>
      <c r="C2" t="s">
        <v>18</v>
      </c>
      <c r="D2" t="s">
        <v>19</v>
      </c>
      <c r="E2" t="s">
        <v>20</v>
      </c>
      <c r="F2">
        <v>1</v>
      </c>
      <c r="G2">
        <v>0</v>
      </c>
      <c r="H2" t="s">
        <v>21</v>
      </c>
      <c r="I2">
        <v>1</v>
      </c>
      <c r="K2">
        <v>0</v>
      </c>
      <c r="N2" t="s">
        <v>22</v>
      </c>
      <c r="O2" t="s">
        <v>23</v>
      </c>
      <c r="P2" t="s">
        <v>24</v>
      </c>
      <c r="Q2" t="s">
        <v>24</v>
      </c>
    </row>
    <row r="3" spans="1:17" x14ac:dyDescent="0.25">
      <c r="A3">
        <v>4</v>
      </c>
      <c r="B3" t="s">
        <v>25</v>
      </c>
      <c r="D3" t="s">
        <v>26</v>
      </c>
      <c r="E3" t="s">
        <v>27</v>
      </c>
      <c r="F3">
        <v>1</v>
      </c>
      <c r="G3">
        <v>1</v>
      </c>
      <c r="H3" t="s">
        <v>28</v>
      </c>
      <c r="I3">
        <v>1</v>
      </c>
      <c r="K3">
        <v>1</v>
      </c>
      <c r="N3" t="s">
        <v>29</v>
      </c>
      <c r="O3" t="s">
        <v>30</v>
      </c>
      <c r="P3" t="s">
        <v>24</v>
      </c>
      <c r="Q3" t="s">
        <v>24</v>
      </c>
    </row>
    <row r="4" spans="1:17" x14ac:dyDescent="0.25">
      <c r="A4">
        <v>5</v>
      </c>
      <c r="B4" t="s">
        <v>31</v>
      </c>
      <c r="C4" t="s">
        <v>32</v>
      </c>
      <c r="D4" t="s">
        <v>33</v>
      </c>
      <c r="E4" t="s">
        <v>20</v>
      </c>
      <c r="F4">
        <v>1</v>
      </c>
      <c r="G4">
        <v>0</v>
      </c>
      <c r="H4" t="s">
        <v>34</v>
      </c>
      <c r="I4">
        <v>1</v>
      </c>
      <c r="K4">
        <v>0</v>
      </c>
      <c r="N4" t="s">
        <v>35</v>
      </c>
      <c r="O4" t="s">
        <v>36</v>
      </c>
      <c r="P4" t="s">
        <v>24</v>
      </c>
      <c r="Q4" t="s">
        <v>24</v>
      </c>
    </row>
    <row r="5" spans="1:17" x14ac:dyDescent="0.25">
      <c r="A5">
        <v>6</v>
      </c>
      <c r="B5" t="s">
        <v>37</v>
      </c>
      <c r="D5" t="s">
        <v>38</v>
      </c>
      <c r="E5" t="s">
        <v>39</v>
      </c>
      <c r="F5">
        <v>1</v>
      </c>
      <c r="G5">
        <v>0</v>
      </c>
      <c r="H5" t="s">
        <v>37</v>
      </c>
      <c r="I5">
        <v>0</v>
      </c>
      <c r="K5">
        <v>0</v>
      </c>
      <c r="N5" t="s">
        <v>40</v>
      </c>
      <c r="O5" t="s">
        <v>41</v>
      </c>
      <c r="P5" t="s">
        <v>24</v>
      </c>
      <c r="Q5" t="s">
        <v>24</v>
      </c>
    </row>
    <row r="6" spans="1:17" x14ac:dyDescent="0.25">
      <c r="A6">
        <v>7</v>
      </c>
      <c r="B6" t="s">
        <v>42</v>
      </c>
      <c r="C6" t="s">
        <v>43</v>
      </c>
      <c r="D6" t="s">
        <v>44</v>
      </c>
      <c r="E6" t="s">
        <v>20</v>
      </c>
      <c r="F6">
        <v>1</v>
      </c>
      <c r="G6">
        <v>0</v>
      </c>
      <c r="H6" t="s">
        <v>45</v>
      </c>
      <c r="I6">
        <v>1</v>
      </c>
      <c r="K6">
        <v>0</v>
      </c>
      <c r="N6" t="s">
        <v>46</v>
      </c>
      <c r="O6" t="s">
        <v>47</v>
      </c>
      <c r="P6" t="s">
        <v>24</v>
      </c>
      <c r="Q6" t="s">
        <v>24</v>
      </c>
    </row>
    <row r="7" spans="1:17" x14ac:dyDescent="0.25">
      <c r="A7">
        <v>8</v>
      </c>
      <c r="B7" t="s">
        <v>48</v>
      </c>
      <c r="C7" t="s">
        <v>49</v>
      </c>
      <c r="D7" t="s">
        <v>50</v>
      </c>
      <c r="E7" t="s">
        <v>27</v>
      </c>
      <c r="F7">
        <v>1</v>
      </c>
      <c r="G7">
        <v>0</v>
      </c>
      <c r="H7" t="s">
        <v>51</v>
      </c>
      <c r="I7">
        <v>0</v>
      </c>
      <c r="K7">
        <v>0</v>
      </c>
      <c r="N7" t="s">
        <v>52</v>
      </c>
      <c r="O7" t="s">
        <v>53</v>
      </c>
      <c r="P7" t="s">
        <v>54</v>
      </c>
      <c r="Q7" t="s">
        <v>24</v>
      </c>
    </row>
    <row r="8" spans="1:17" x14ac:dyDescent="0.25">
      <c r="A8">
        <v>9</v>
      </c>
      <c r="B8" t="s">
        <v>55</v>
      </c>
      <c r="D8" t="s">
        <v>56</v>
      </c>
      <c r="E8" t="s">
        <v>27</v>
      </c>
      <c r="F8">
        <v>0</v>
      </c>
      <c r="G8">
        <v>0</v>
      </c>
      <c r="H8" t="s">
        <v>57</v>
      </c>
      <c r="I8">
        <v>1</v>
      </c>
      <c r="K8">
        <v>1</v>
      </c>
      <c r="M8" t="s">
        <v>58</v>
      </c>
      <c r="N8" t="s">
        <v>59</v>
      </c>
      <c r="O8" t="s">
        <v>1138</v>
      </c>
      <c r="P8" t="s">
        <v>24</v>
      </c>
      <c r="Q8" t="s">
        <v>24</v>
      </c>
    </row>
    <row r="9" spans="1:17" x14ac:dyDescent="0.25">
      <c r="A9">
        <v>10</v>
      </c>
      <c r="B9" t="s">
        <v>60</v>
      </c>
      <c r="D9" t="s">
        <v>61</v>
      </c>
      <c r="E9" t="s">
        <v>27</v>
      </c>
      <c r="F9">
        <v>0</v>
      </c>
      <c r="G9">
        <v>0</v>
      </c>
      <c r="H9" t="s">
        <v>57</v>
      </c>
      <c r="I9">
        <v>1</v>
      </c>
      <c r="K9">
        <v>1</v>
      </c>
      <c r="M9" t="s">
        <v>62</v>
      </c>
      <c r="N9" t="s">
        <v>63</v>
      </c>
      <c r="O9" t="s">
        <v>64</v>
      </c>
      <c r="P9" t="s">
        <v>24</v>
      </c>
      <c r="Q9" t="s">
        <v>24</v>
      </c>
    </row>
    <row r="10" spans="1:17" x14ac:dyDescent="0.25">
      <c r="A10">
        <v>11</v>
      </c>
      <c r="B10" t="s">
        <v>65</v>
      </c>
      <c r="C10" t="s">
        <v>66</v>
      </c>
      <c r="D10" t="s">
        <v>67</v>
      </c>
      <c r="E10" t="s">
        <v>20</v>
      </c>
      <c r="F10">
        <v>1</v>
      </c>
      <c r="G10">
        <v>0</v>
      </c>
      <c r="H10" t="s">
        <v>66</v>
      </c>
      <c r="I10">
        <v>0</v>
      </c>
      <c r="K10">
        <v>0</v>
      </c>
      <c r="N10" t="s">
        <v>68</v>
      </c>
      <c r="O10" t="s">
        <v>69</v>
      </c>
      <c r="P10" t="s">
        <v>24</v>
      </c>
      <c r="Q10" t="s">
        <v>24</v>
      </c>
    </row>
    <row r="11" spans="1:17" x14ac:dyDescent="0.25">
      <c r="A11">
        <v>12</v>
      </c>
      <c r="B11" t="s">
        <v>70</v>
      </c>
      <c r="D11" t="s">
        <v>71</v>
      </c>
      <c r="E11" t="s">
        <v>27</v>
      </c>
      <c r="F11">
        <v>0</v>
      </c>
      <c r="G11">
        <v>0</v>
      </c>
      <c r="H11" t="s">
        <v>72</v>
      </c>
      <c r="I11">
        <v>1</v>
      </c>
      <c r="K11">
        <v>1</v>
      </c>
      <c r="L11" t="s">
        <v>73</v>
      </c>
      <c r="M11" t="s">
        <v>74</v>
      </c>
      <c r="N11" t="s">
        <v>75</v>
      </c>
      <c r="O11" t="s">
        <v>1139</v>
      </c>
      <c r="P11" t="s">
        <v>24</v>
      </c>
      <c r="Q11" t="s">
        <v>24</v>
      </c>
    </row>
    <row r="12" spans="1:17" x14ac:dyDescent="0.25">
      <c r="A12">
        <v>13</v>
      </c>
      <c r="B12" t="s">
        <v>76</v>
      </c>
      <c r="D12" t="s">
        <v>77</v>
      </c>
      <c r="E12" t="s">
        <v>27</v>
      </c>
      <c r="F12">
        <v>0</v>
      </c>
      <c r="G12">
        <v>0</v>
      </c>
      <c r="H12" t="s">
        <v>57</v>
      </c>
      <c r="I12">
        <v>1</v>
      </c>
      <c r="K12">
        <v>1</v>
      </c>
      <c r="M12" t="s">
        <v>78</v>
      </c>
      <c r="N12" t="s">
        <v>79</v>
      </c>
      <c r="O12" t="s">
        <v>1140</v>
      </c>
      <c r="P12" t="s">
        <v>24</v>
      </c>
      <c r="Q12" t="s">
        <v>24</v>
      </c>
    </row>
    <row r="13" spans="1:17" x14ac:dyDescent="0.25">
      <c r="A13">
        <v>14</v>
      </c>
      <c r="B13" t="s">
        <v>80</v>
      </c>
      <c r="D13" t="s">
        <v>19</v>
      </c>
      <c r="E13" t="s">
        <v>27</v>
      </c>
      <c r="F13">
        <v>1</v>
      </c>
      <c r="G13">
        <v>0</v>
      </c>
      <c r="H13" t="s">
        <v>21</v>
      </c>
      <c r="I13">
        <v>1</v>
      </c>
      <c r="K13">
        <v>0</v>
      </c>
      <c r="N13" t="s">
        <v>81</v>
      </c>
      <c r="O13" t="s">
        <v>82</v>
      </c>
      <c r="P13" t="s">
        <v>24</v>
      </c>
      <c r="Q13" t="s">
        <v>24</v>
      </c>
    </row>
    <row r="14" spans="1:17" x14ac:dyDescent="0.25">
      <c r="A14">
        <v>15</v>
      </c>
      <c r="B14" t="s">
        <v>83</v>
      </c>
      <c r="D14" t="s">
        <v>84</v>
      </c>
      <c r="E14" t="s">
        <v>20</v>
      </c>
      <c r="F14">
        <v>1</v>
      </c>
      <c r="G14">
        <v>0</v>
      </c>
      <c r="H14" t="s">
        <v>83</v>
      </c>
      <c r="I14">
        <v>1</v>
      </c>
      <c r="K14">
        <v>0</v>
      </c>
      <c r="N14" t="s">
        <v>85</v>
      </c>
      <c r="O14" t="s">
        <v>1195</v>
      </c>
      <c r="P14" t="s">
        <v>24</v>
      </c>
      <c r="Q14" t="s">
        <v>24</v>
      </c>
    </row>
    <row r="15" spans="1:17" x14ac:dyDescent="0.25">
      <c r="A15">
        <v>16</v>
      </c>
      <c r="B15" t="s">
        <v>86</v>
      </c>
      <c r="D15" t="s">
        <v>87</v>
      </c>
      <c r="E15" t="s">
        <v>27</v>
      </c>
      <c r="F15">
        <v>0</v>
      </c>
      <c r="G15">
        <v>0</v>
      </c>
      <c r="H15" t="s">
        <v>57</v>
      </c>
      <c r="I15">
        <v>1</v>
      </c>
      <c r="K15">
        <v>1</v>
      </c>
      <c r="M15" t="s">
        <v>74</v>
      </c>
      <c r="N15" t="s">
        <v>88</v>
      </c>
      <c r="O15" t="s">
        <v>1141</v>
      </c>
      <c r="P15" t="s">
        <v>24</v>
      </c>
      <c r="Q15" t="s">
        <v>24</v>
      </c>
    </row>
    <row r="16" spans="1:17" x14ac:dyDescent="0.25">
      <c r="A16">
        <v>17</v>
      </c>
      <c r="B16" t="s">
        <v>89</v>
      </c>
      <c r="C16" t="s">
        <v>90</v>
      </c>
      <c r="D16" t="s">
        <v>91</v>
      </c>
      <c r="E16" t="s">
        <v>27</v>
      </c>
      <c r="F16">
        <v>0</v>
      </c>
      <c r="G16">
        <v>0</v>
      </c>
      <c r="H16" t="s">
        <v>57</v>
      </c>
      <c r="I16">
        <v>1</v>
      </c>
      <c r="K16">
        <v>1</v>
      </c>
      <c r="M16" t="s">
        <v>92</v>
      </c>
      <c r="N16" t="s">
        <v>93</v>
      </c>
      <c r="O16" t="s">
        <v>1142</v>
      </c>
      <c r="P16" t="s">
        <v>24</v>
      </c>
      <c r="Q16" t="s">
        <v>24</v>
      </c>
    </row>
    <row r="17" spans="1:17" x14ac:dyDescent="0.25">
      <c r="A17">
        <v>18</v>
      </c>
      <c r="B17" t="s">
        <v>94</v>
      </c>
      <c r="D17" t="s">
        <v>95</v>
      </c>
      <c r="E17" t="s">
        <v>27</v>
      </c>
      <c r="F17">
        <v>1</v>
      </c>
      <c r="G17">
        <v>0</v>
      </c>
      <c r="H17" t="s">
        <v>96</v>
      </c>
      <c r="I17">
        <v>1</v>
      </c>
      <c r="K17">
        <v>1</v>
      </c>
      <c r="N17" t="s">
        <v>97</v>
      </c>
      <c r="O17" t="s">
        <v>98</v>
      </c>
      <c r="P17" t="s">
        <v>24</v>
      </c>
      <c r="Q17" t="s">
        <v>24</v>
      </c>
    </row>
    <row r="18" spans="1:17" x14ac:dyDescent="0.25">
      <c r="A18">
        <v>19</v>
      </c>
      <c r="B18" t="s">
        <v>99</v>
      </c>
      <c r="D18" t="s">
        <v>100</v>
      </c>
      <c r="E18" t="s">
        <v>27</v>
      </c>
      <c r="F18">
        <v>1</v>
      </c>
      <c r="G18">
        <v>0</v>
      </c>
      <c r="H18" t="s">
        <v>101</v>
      </c>
      <c r="I18">
        <v>0</v>
      </c>
      <c r="K18">
        <v>0</v>
      </c>
      <c r="N18" t="s">
        <v>102</v>
      </c>
      <c r="O18" t="s">
        <v>103</v>
      </c>
      <c r="P18" t="s">
        <v>24</v>
      </c>
      <c r="Q18" t="s">
        <v>24</v>
      </c>
    </row>
    <row r="19" spans="1:17" x14ac:dyDescent="0.25">
      <c r="A19">
        <v>20</v>
      </c>
      <c r="B19" t="s">
        <v>104</v>
      </c>
      <c r="C19" t="s">
        <v>105</v>
      </c>
      <c r="D19" t="s">
        <v>106</v>
      </c>
      <c r="E19" t="s">
        <v>20</v>
      </c>
      <c r="F19">
        <v>1</v>
      </c>
      <c r="G19">
        <v>0</v>
      </c>
      <c r="H19" t="s">
        <v>105</v>
      </c>
      <c r="I19">
        <v>1</v>
      </c>
      <c r="K19">
        <v>0</v>
      </c>
      <c r="N19" t="s">
        <v>107</v>
      </c>
      <c r="O19" t="s">
        <v>108</v>
      </c>
      <c r="P19" t="s">
        <v>24</v>
      </c>
      <c r="Q19" t="s">
        <v>24</v>
      </c>
    </row>
    <row r="20" spans="1:17" x14ac:dyDescent="0.25">
      <c r="A20">
        <v>21</v>
      </c>
      <c r="B20" t="s">
        <v>109</v>
      </c>
      <c r="D20" t="s">
        <v>110</v>
      </c>
      <c r="E20" t="s">
        <v>27</v>
      </c>
      <c r="F20">
        <v>0</v>
      </c>
      <c r="G20">
        <v>0</v>
      </c>
      <c r="H20" t="s">
        <v>57</v>
      </c>
      <c r="I20">
        <v>1</v>
      </c>
      <c r="K20">
        <v>1</v>
      </c>
      <c r="M20" t="s">
        <v>74</v>
      </c>
      <c r="N20" t="s">
        <v>111</v>
      </c>
      <c r="O20" t="s">
        <v>1143</v>
      </c>
      <c r="P20" t="s">
        <v>24</v>
      </c>
      <c r="Q20" t="s">
        <v>24</v>
      </c>
    </row>
    <row r="21" spans="1:17" x14ac:dyDescent="0.25">
      <c r="A21">
        <v>22</v>
      </c>
      <c r="B21" t="s">
        <v>112</v>
      </c>
      <c r="D21" t="s">
        <v>113</v>
      </c>
      <c r="E21" t="s">
        <v>27</v>
      </c>
      <c r="F21">
        <v>0</v>
      </c>
      <c r="G21">
        <v>0</v>
      </c>
      <c r="H21" t="s">
        <v>57</v>
      </c>
      <c r="I21">
        <v>1</v>
      </c>
      <c r="K21">
        <v>1</v>
      </c>
      <c r="M21" t="s">
        <v>114</v>
      </c>
      <c r="N21" t="s">
        <v>115</v>
      </c>
      <c r="O21" t="s">
        <v>1144</v>
      </c>
      <c r="P21" t="s">
        <v>24</v>
      </c>
      <c r="Q21" t="s">
        <v>24</v>
      </c>
    </row>
    <row r="22" spans="1:17" x14ac:dyDescent="0.25">
      <c r="A22">
        <v>23</v>
      </c>
      <c r="B22" t="s">
        <v>116</v>
      </c>
      <c r="D22" t="s">
        <v>117</v>
      </c>
      <c r="E22" t="s">
        <v>27</v>
      </c>
      <c r="F22">
        <v>0</v>
      </c>
      <c r="G22">
        <v>0</v>
      </c>
      <c r="H22" t="s">
        <v>57</v>
      </c>
      <c r="I22">
        <v>1</v>
      </c>
      <c r="K22">
        <v>1</v>
      </c>
      <c r="M22" t="s">
        <v>74</v>
      </c>
      <c r="N22" t="s">
        <v>118</v>
      </c>
      <c r="O22" t="s">
        <v>1145</v>
      </c>
      <c r="P22" t="s">
        <v>24</v>
      </c>
      <c r="Q22" t="s">
        <v>24</v>
      </c>
    </row>
    <row r="23" spans="1:17" x14ac:dyDescent="0.25">
      <c r="A23">
        <v>24</v>
      </c>
      <c r="B23" t="s">
        <v>119</v>
      </c>
      <c r="D23" t="s">
        <v>120</v>
      </c>
      <c r="E23" t="s">
        <v>27</v>
      </c>
      <c r="F23">
        <v>0</v>
      </c>
      <c r="G23">
        <v>0</v>
      </c>
      <c r="H23" t="s">
        <v>57</v>
      </c>
      <c r="I23">
        <v>1</v>
      </c>
      <c r="K23">
        <v>1</v>
      </c>
      <c r="M23" t="s">
        <v>74</v>
      </c>
      <c r="N23" t="s">
        <v>121</v>
      </c>
      <c r="O23" t="s">
        <v>122</v>
      </c>
      <c r="P23" t="s">
        <v>24</v>
      </c>
      <c r="Q23" t="s">
        <v>24</v>
      </c>
    </row>
    <row r="24" spans="1:17" x14ac:dyDescent="0.25">
      <c r="A24">
        <v>25</v>
      </c>
      <c r="B24" t="s">
        <v>123</v>
      </c>
      <c r="D24" t="s">
        <v>124</v>
      </c>
      <c r="E24" t="s">
        <v>39</v>
      </c>
      <c r="F24">
        <v>0</v>
      </c>
      <c r="G24">
        <v>0</v>
      </c>
      <c r="H24" t="s">
        <v>125</v>
      </c>
      <c r="I24">
        <v>1</v>
      </c>
      <c r="K24">
        <v>0</v>
      </c>
      <c r="N24" t="s">
        <v>126</v>
      </c>
      <c r="O24" t="s">
        <v>127</v>
      </c>
      <c r="P24" t="s">
        <v>24</v>
      </c>
      <c r="Q24" t="s">
        <v>24</v>
      </c>
    </row>
    <row r="25" spans="1:17" x14ac:dyDescent="0.25">
      <c r="A25">
        <v>26</v>
      </c>
      <c r="B25" t="s">
        <v>128</v>
      </c>
      <c r="D25" t="s">
        <v>129</v>
      </c>
      <c r="E25" t="s">
        <v>39</v>
      </c>
      <c r="F25">
        <v>0</v>
      </c>
      <c r="G25">
        <v>0</v>
      </c>
      <c r="H25" t="s">
        <v>125</v>
      </c>
      <c r="I25">
        <v>1</v>
      </c>
      <c r="K25">
        <v>0</v>
      </c>
      <c r="N25" t="s">
        <v>130</v>
      </c>
      <c r="O25" t="s">
        <v>131</v>
      </c>
      <c r="P25" t="s">
        <v>24</v>
      </c>
      <c r="Q25" t="s">
        <v>24</v>
      </c>
    </row>
    <row r="26" spans="1:17" x14ac:dyDescent="0.25">
      <c r="A26">
        <v>27</v>
      </c>
      <c r="B26" t="s">
        <v>132</v>
      </c>
      <c r="C26" t="s">
        <v>133</v>
      </c>
      <c r="D26" t="s">
        <v>134</v>
      </c>
      <c r="E26" t="s">
        <v>20</v>
      </c>
      <c r="F26">
        <v>1</v>
      </c>
      <c r="G26">
        <v>0</v>
      </c>
      <c r="H26" t="s">
        <v>21</v>
      </c>
      <c r="I26">
        <v>1</v>
      </c>
      <c r="K26">
        <v>0</v>
      </c>
      <c r="N26" t="s">
        <v>135</v>
      </c>
      <c r="O26" t="s">
        <v>136</v>
      </c>
      <c r="P26" t="s">
        <v>24</v>
      </c>
      <c r="Q26" t="s">
        <v>24</v>
      </c>
    </row>
    <row r="27" spans="1:17" x14ac:dyDescent="0.25">
      <c r="A27">
        <v>28</v>
      </c>
      <c r="B27" t="s">
        <v>137</v>
      </c>
      <c r="D27" t="s">
        <v>138</v>
      </c>
      <c r="E27" t="s">
        <v>27</v>
      </c>
      <c r="F27">
        <v>1</v>
      </c>
      <c r="G27">
        <v>1</v>
      </c>
      <c r="H27" t="s">
        <v>139</v>
      </c>
      <c r="I27">
        <v>1</v>
      </c>
      <c r="K27">
        <v>1</v>
      </c>
      <c r="N27" t="s">
        <v>140</v>
      </c>
      <c r="O27" t="s">
        <v>141</v>
      </c>
      <c r="P27" t="s">
        <v>24</v>
      </c>
      <c r="Q27" t="s">
        <v>24</v>
      </c>
    </row>
    <row r="28" spans="1:17" x14ac:dyDescent="0.25">
      <c r="A28">
        <v>29</v>
      </c>
      <c r="B28" t="s">
        <v>142</v>
      </c>
      <c r="D28" t="s">
        <v>143</v>
      </c>
      <c r="E28" t="s">
        <v>27</v>
      </c>
      <c r="F28">
        <v>0</v>
      </c>
      <c r="G28">
        <v>0</v>
      </c>
      <c r="H28" t="s">
        <v>57</v>
      </c>
      <c r="I28">
        <v>1</v>
      </c>
      <c r="K28">
        <v>1</v>
      </c>
      <c r="M28" t="s">
        <v>144</v>
      </c>
      <c r="N28" t="s">
        <v>145</v>
      </c>
      <c r="O28" t="s">
        <v>146</v>
      </c>
      <c r="P28" t="s">
        <v>24</v>
      </c>
      <c r="Q28" t="s">
        <v>24</v>
      </c>
    </row>
    <row r="29" spans="1:17" x14ac:dyDescent="0.25">
      <c r="A29">
        <v>422</v>
      </c>
      <c r="B29" t="s">
        <v>147</v>
      </c>
      <c r="C29" t="s">
        <v>24</v>
      </c>
      <c r="D29" t="s">
        <v>148</v>
      </c>
      <c r="E29" t="s">
        <v>39</v>
      </c>
      <c r="F29">
        <v>0</v>
      </c>
      <c r="G29">
        <v>0</v>
      </c>
      <c r="H29" t="s">
        <v>149</v>
      </c>
      <c r="I29">
        <v>1</v>
      </c>
      <c r="J29" t="s">
        <v>150</v>
      </c>
      <c r="K29">
        <v>0</v>
      </c>
      <c r="L29" t="s">
        <v>24</v>
      </c>
      <c r="M29" t="s">
        <v>24</v>
      </c>
      <c r="N29" t="s">
        <v>151</v>
      </c>
      <c r="O29" t="s">
        <v>152</v>
      </c>
      <c r="P29" t="s">
        <v>24</v>
      </c>
      <c r="Q29" t="s">
        <v>24</v>
      </c>
    </row>
    <row r="30" spans="1:17" x14ac:dyDescent="0.25">
      <c r="A30">
        <v>31</v>
      </c>
      <c r="B30" t="s">
        <v>153</v>
      </c>
      <c r="D30" t="s">
        <v>154</v>
      </c>
      <c r="E30" t="s">
        <v>27</v>
      </c>
      <c r="F30">
        <v>1</v>
      </c>
      <c r="G30">
        <v>0</v>
      </c>
      <c r="H30" t="s">
        <v>28</v>
      </c>
      <c r="I30">
        <v>1</v>
      </c>
      <c r="K30">
        <v>1</v>
      </c>
      <c r="N30" t="s">
        <v>155</v>
      </c>
      <c r="O30" t="s">
        <v>1146</v>
      </c>
      <c r="P30" t="s">
        <v>24</v>
      </c>
      <c r="Q30" t="s">
        <v>24</v>
      </c>
    </row>
    <row r="31" spans="1:17" x14ac:dyDescent="0.25">
      <c r="A31">
        <v>32</v>
      </c>
      <c r="B31" t="s">
        <v>74</v>
      </c>
      <c r="D31" t="s">
        <v>156</v>
      </c>
      <c r="E31" t="s">
        <v>27</v>
      </c>
      <c r="F31">
        <v>1</v>
      </c>
      <c r="G31">
        <v>0</v>
      </c>
      <c r="H31" t="s">
        <v>57</v>
      </c>
      <c r="I31">
        <v>1</v>
      </c>
      <c r="K31">
        <v>1</v>
      </c>
      <c r="L31" t="s">
        <v>157</v>
      </c>
      <c r="N31" t="s">
        <v>158</v>
      </c>
      <c r="O31" t="s">
        <v>1147</v>
      </c>
      <c r="P31" t="s">
        <v>24</v>
      </c>
      <c r="Q31" t="s">
        <v>24</v>
      </c>
    </row>
    <row r="32" spans="1:17" x14ac:dyDescent="0.25">
      <c r="A32">
        <v>33</v>
      </c>
      <c r="B32" t="s">
        <v>159</v>
      </c>
      <c r="D32" t="s">
        <v>160</v>
      </c>
      <c r="E32" t="s">
        <v>27</v>
      </c>
      <c r="F32">
        <v>0</v>
      </c>
      <c r="G32">
        <v>0</v>
      </c>
      <c r="H32" t="s">
        <v>57</v>
      </c>
      <c r="I32">
        <v>1</v>
      </c>
      <c r="K32">
        <v>1</v>
      </c>
      <c r="N32" t="s">
        <v>161</v>
      </c>
      <c r="O32" t="s">
        <v>1148</v>
      </c>
      <c r="P32" t="s">
        <v>24</v>
      </c>
      <c r="Q32" t="s">
        <v>24</v>
      </c>
    </row>
    <row r="33" spans="1:17" x14ac:dyDescent="0.25">
      <c r="A33">
        <v>34</v>
      </c>
      <c r="B33" t="s">
        <v>162</v>
      </c>
      <c r="D33" t="s">
        <v>163</v>
      </c>
      <c r="E33" t="s">
        <v>27</v>
      </c>
      <c r="F33">
        <v>0</v>
      </c>
      <c r="G33">
        <v>0</v>
      </c>
      <c r="H33" t="s">
        <v>57</v>
      </c>
      <c r="I33">
        <v>1</v>
      </c>
      <c r="K33">
        <v>1</v>
      </c>
      <c r="M33" t="s">
        <v>164</v>
      </c>
      <c r="N33" t="s">
        <v>165</v>
      </c>
      <c r="O33" t="s">
        <v>1149</v>
      </c>
      <c r="P33" t="s">
        <v>24</v>
      </c>
      <c r="Q33" t="s">
        <v>24</v>
      </c>
    </row>
    <row r="34" spans="1:17" x14ac:dyDescent="0.25">
      <c r="A34">
        <v>35</v>
      </c>
      <c r="B34" t="s">
        <v>166</v>
      </c>
      <c r="D34" t="s">
        <v>167</v>
      </c>
      <c r="E34" t="s">
        <v>20</v>
      </c>
      <c r="F34">
        <v>0</v>
      </c>
      <c r="G34">
        <v>0</v>
      </c>
      <c r="H34" t="s">
        <v>166</v>
      </c>
      <c r="I34">
        <v>1</v>
      </c>
      <c r="J34" t="s">
        <v>168</v>
      </c>
      <c r="K34">
        <v>0</v>
      </c>
      <c r="N34" t="s">
        <v>169</v>
      </c>
      <c r="O34" t="s">
        <v>169</v>
      </c>
      <c r="P34" t="s">
        <v>24</v>
      </c>
      <c r="Q34" t="s">
        <v>24</v>
      </c>
    </row>
    <row r="35" spans="1:17" x14ac:dyDescent="0.25">
      <c r="A35">
        <v>36</v>
      </c>
      <c r="B35" t="s">
        <v>170</v>
      </c>
      <c r="D35" t="s">
        <v>171</v>
      </c>
      <c r="E35" t="s">
        <v>172</v>
      </c>
      <c r="F35">
        <v>1</v>
      </c>
      <c r="G35">
        <v>1</v>
      </c>
      <c r="H35" t="s">
        <v>170</v>
      </c>
      <c r="I35">
        <v>1</v>
      </c>
      <c r="K35">
        <v>0</v>
      </c>
      <c r="N35" t="s">
        <v>173</v>
      </c>
      <c r="O35" t="s">
        <v>174</v>
      </c>
      <c r="P35" t="s">
        <v>24</v>
      </c>
      <c r="Q35" t="s">
        <v>24</v>
      </c>
    </row>
    <row r="36" spans="1:17" x14ac:dyDescent="0.25">
      <c r="A36">
        <v>37</v>
      </c>
      <c r="B36" t="s">
        <v>175</v>
      </c>
      <c r="D36" t="s">
        <v>176</v>
      </c>
      <c r="E36" t="s">
        <v>27</v>
      </c>
      <c r="F36">
        <v>0</v>
      </c>
      <c r="G36">
        <v>0</v>
      </c>
      <c r="H36" t="s">
        <v>175</v>
      </c>
      <c r="I36">
        <v>1</v>
      </c>
      <c r="K36">
        <v>0</v>
      </c>
      <c r="N36" t="s">
        <v>177</v>
      </c>
      <c r="O36" t="s">
        <v>178</v>
      </c>
      <c r="P36" t="s">
        <v>24</v>
      </c>
      <c r="Q36" t="s">
        <v>24</v>
      </c>
    </row>
    <row r="37" spans="1:17" x14ac:dyDescent="0.25">
      <c r="A37">
        <v>38</v>
      </c>
      <c r="B37" t="s">
        <v>179</v>
      </c>
      <c r="D37" t="s">
        <v>180</v>
      </c>
      <c r="E37" t="s">
        <v>27</v>
      </c>
      <c r="F37">
        <v>1</v>
      </c>
      <c r="G37">
        <v>1</v>
      </c>
      <c r="H37" t="s">
        <v>28</v>
      </c>
      <c r="I37">
        <v>1</v>
      </c>
      <c r="K37">
        <v>1</v>
      </c>
      <c r="N37" t="s">
        <v>181</v>
      </c>
      <c r="O37" t="s">
        <v>182</v>
      </c>
      <c r="P37" t="s">
        <v>24</v>
      </c>
      <c r="Q37" t="s">
        <v>24</v>
      </c>
    </row>
    <row r="38" spans="1:17" x14ac:dyDescent="0.25">
      <c r="A38">
        <v>39</v>
      </c>
      <c r="B38" t="s">
        <v>183</v>
      </c>
      <c r="D38" t="s">
        <v>184</v>
      </c>
      <c r="E38" t="s">
        <v>27</v>
      </c>
      <c r="F38">
        <v>0</v>
      </c>
      <c r="G38">
        <v>0</v>
      </c>
      <c r="H38" t="s">
        <v>57</v>
      </c>
      <c r="I38">
        <v>1</v>
      </c>
      <c r="K38">
        <v>1</v>
      </c>
      <c r="M38" t="s">
        <v>74</v>
      </c>
      <c r="N38" t="s">
        <v>185</v>
      </c>
      <c r="O38" t="s">
        <v>1150</v>
      </c>
      <c r="P38" t="s">
        <v>24</v>
      </c>
      <c r="Q38" t="s">
        <v>24</v>
      </c>
    </row>
    <row r="39" spans="1:17" x14ac:dyDescent="0.25">
      <c r="A39">
        <v>40</v>
      </c>
      <c r="B39" t="s">
        <v>186</v>
      </c>
      <c r="D39" t="s">
        <v>187</v>
      </c>
      <c r="E39" t="s">
        <v>20</v>
      </c>
      <c r="F39">
        <v>1</v>
      </c>
      <c r="G39">
        <v>0</v>
      </c>
      <c r="H39" t="s">
        <v>188</v>
      </c>
      <c r="I39">
        <v>1</v>
      </c>
      <c r="K39">
        <v>0</v>
      </c>
      <c r="N39" t="s">
        <v>189</v>
      </c>
      <c r="O39" t="s">
        <v>189</v>
      </c>
      <c r="P39" t="s">
        <v>24</v>
      </c>
      <c r="Q39" t="s">
        <v>24</v>
      </c>
    </row>
    <row r="40" spans="1:17" x14ac:dyDescent="0.25">
      <c r="A40">
        <v>41</v>
      </c>
      <c r="B40" t="s">
        <v>190</v>
      </c>
      <c r="D40" t="s">
        <v>191</v>
      </c>
      <c r="E40" t="s">
        <v>192</v>
      </c>
      <c r="F40">
        <v>1</v>
      </c>
      <c r="G40">
        <v>0</v>
      </c>
      <c r="H40" t="s">
        <v>193</v>
      </c>
      <c r="I40">
        <v>0</v>
      </c>
      <c r="K40">
        <v>0</v>
      </c>
      <c r="N40" t="s">
        <v>194</v>
      </c>
      <c r="O40" t="s">
        <v>195</v>
      </c>
      <c r="P40" t="s">
        <v>24</v>
      </c>
      <c r="Q40" t="s">
        <v>24</v>
      </c>
    </row>
    <row r="41" spans="1:17" x14ac:dyDescent="0.25">
      <c r="A41">
        <v>42</v>
      </c>
      <c r="B41" t="s">
        <v>196</v>
      </c>
      <c r="D41" t="s">
        <v>197</v>
      </c>
      <c r="E41" t="s">
        <v>27</v>
      </c>
      <c r="F41">
        <v>0</v>
      </c>
      <c r="G41">
        <v>0</v>
      </c>
      <c r="H41" t="s">
        <v>57</v>
      </c>
      <c r="I41">
        <v>1</v>
      </c>
      <c r="K41">
        <v>1</v>
      </c>
      <c r="M41" t="s">
        <v>78</v>
      </c>
      <c r="N41" t="s">
        <v>198</v>
      </c>
      <c r="O41" t="s">
        <v>1151</v>
      </c>
      <c r="P41" t="s">
        <v>24</v>
      </c>
      <c r="Q41" t="s">
        <v>24</v>
      </c>
    </row>
    <row r="42" spans="1:17" x14ac:dyDescent="0.25">
      <c r="A42">
        <v>43</v>
      </c>
      <c r="B42" t="s">
        <v>199</v>
      </c>
      <c r="D42" t="s">
        <v>200</v>
      </c>
      <c r="E42" t="s">
        <v>27</v>
      </c>
      <c r="F42">
        <v>1</v>
      </c>
      <c r="G42">
        <v>0</v>
      </c>
      <c r="H42" t="s">
        <v>201</v>
      </c>
      <c r="I42">
        <v>0</v>
      </c>
      <c r="K42">
        <v>0</v>
      </c>
      <c r="N42" t="s">
        <v>202</v>
      </c>
      <c r="O42" t="s">
        <v>203</v>
      </c>
      <c r="P42" t="s">
        <v>24</v>
      </c>
      <c r="Q42" t="s">
        <v>24</v>
      </c>
    </row>
    <row r="43" spans="1:17" x14ac:dyDescent="0.25">
      <c r="A43">
        <v>44</v>
      </c>
      <c r="B43" t="s">
        <v>204</v>
      </c>
      <c r="D43" t="s">
        <v>205</v>
      </c>
      <c r="E43" t="s">
        <v>27</v>
      </c>
      <c r="F43">
        <v>0</v>
      </c>
      <c r="G43">
        <v>0</v>
      </c>
      <c r="H43" t="s">
        <v>57</v>
      </c>
      <c r="I43">
        <v>1</v>
      </c>
      <c r="K43">
        <v>1</v>
      </c>
      <c r="M43" t="s">
        <v>74</v>
      </c>
      <c r="N43" t="s">
        <v>206</v>
      </c>
      <c r="O43" t="s">
        <v>207</v>
      </c>
      <c r="P43" t="s">
        <v>24</v>
      </c>
      <c r="Q43" t="s">
        <v>24</v>
      </c>
    </row>
    <row r="44" spans="1:17" x14ac:dyDescent="0.25">
      <c r="A44">
        <v>45</v>
      </c>
      <c r="B44" t="s">
        <v>208</v>
      </c>
      <c r="D44" t="s">
        <v>209</v>
      </c>
      <c r="E44" t="s">
        <v>39</v>
      </c>
      <c r="F44">
        <v>1</v>
      </c>
      <c r="G44">
        <v>0</v>
      </c>
      <c r="H44" t="s">
        <v>210</v>
      </c>
      <c r="I44">
        <v>0</v>
      </c>
      <c r="K44">
        <v>0</v>
      </c>
      <c r="N44" t="s">
        <v>211</v>
      </c>
      <c r="O44" t="s">
        <v>212</v>
      </c>
      <c r="P44" t="s">
        <v>24</v>
      </c>
      <c r="Q44" t="s">
        <v>24</v>
      </c>
    </row>
    <row r="45" spans="1:17" x14ac:dyDescent="0.25">
      <c r="A45">
        <v>46</v>
      </c>
      <c r="B45" t="s">
        <v>213</v>
      </c>
      <c r="D45" t="s">
        <v>214</v>
      </c>
      <c r="E45" t="s">
        <v>27</v>
      </c>
      <c r="F45">
        <v>1</v>
      </c>
      <c r="G45">
        <v>0</v>
      </c>
      <c r="H45" t="s">
        <v>215</v>
      </c>
      <c r="I45">
        <v>0</v>
      </c>
      <c r="K45">
        <v>0</v>
      </c>
      <c r="N45" t="s">
        <v>216</v>
      </c>
      <c r="O45" t="s">
        <v>217</v>
      </c>
      <c r="P45" t="s">
        <v>24</v>
      </c>
      <c r="Q45" t="s">
        <v>24</v>
      </c>
    </row>
    <row r="46" spans="1:17" x14ac:dyDescent="0.25">
      <c r="A46">
        <v>47</v>
      </c>
      <c r="B46" t="s">
        <v>218</v>
      </c>
      <c r="D46" t="s">
        <v>219</v>
      </c>
      <c r="E46" t="s">
        <v>27</v>
      </c>
      <c r="F46">
        <v>1</v>
      </c>
      <c r="G46">
        <v>0</v>
      </c>
      <c r="H46" t="s">
        <v>96</v>
      </c>
      <c r="I46">
        <v>1</v>
      </c>
      <c r="K46">
        <v>1</v>
      </c>
      <c r="N46" t="s">
        <v>220</v>
      </c>
      <c r="O46" t="s">
        <v>220</v>
      </c>
      <c r="P46" t="s">
        <v>24</v>
      </c>
      <c r="Q46" t="s">
        <v>24</v>
      </c>
    </row>
    <row r="47" spans="1:17" x14ac:dyDescent="0.25">
      <c r="A47">
        <v>48</v>
      </c>
      <c r="B47" t="s">
        <v>221</v>
      </c>
      <c r="C47" t="s">
        <v>222</v>
      </c>
      <c r="D47" t="s">
        <v>223</v>
      </c>
      <c r="E47" t="s">
        <v>39</v>
      </c>
      <c r="F47">
        <v>1</v>
      </c>
      <c r="G47">
        <v>0</v>
      </c>
      <c r="H47" t="s">
        <v>222</v>
      </c>
      <c r="I47">
        <v>1</v>
      </c>
      <c r="K47">
        <v>0</v>
      </c>
      <c r="N47" t="s">
        <v>224</v>
      </c>
      <c r="O47" t="s">
        <v>225</v>
      </c>
      <c r="P47" t="s">
        <v>24</v>
      </c>
      <c r="Q47" t="s">
        <v>24</v>
      </c>
    </row>
    <row r="48" spans="1:17" x14ac:dyDescent="0.25">
      <c r="A48">
        <v>49</v>
      </c>
      <c r="B48" t="s">
        <v>226</v>
      </c>
      <c r="D48" t="s">
        <v>227</v>
      </c>
      <c r="E48" t="s">
        <v>27</v>
      </c>
      <c r="F48">
        <v>1</v>
      </c>
      <c r="G48">
        <v>0</v>
      </c>
      <c r="H48" t="s">
        <v>28</v>
      </c>
      <c r="I48">
        <v>1</v>
      </c>
      <c r="K48">
        <v>1</v>
      </c>
      <c r="N48" t="s">
        <v>228</v>
      </c>
      <c r="O48" t="s">
        <v>229</v>
      </c>
      <c r="P48" t="s">
        <v>24</v>
      </c>
      <c r="Q48" t="s">
        <v>24</v>
      </c>
    </row>
    <row r="49" spans="1:17" x14ac:dyDescent="0.25">
      <c r="A49">
        <v>50</v>
      </c>
      <c r="B49" t="s">
        <v>230</v>
      </c>
      <c r="D49" t="s">
        <v>231</v>
      </c>
      <c r="E49" t="s">
        <v>27</v>
      </c>
      <c r="F49">
        <v>0</v>
      </c>
      <c r="G49">
        <v>0</v>
      </c>
      <c r="H49" t="s">
        <v>232</v>
      </c>
      <c r="I49">
        <v>1</v>
      </c>
      <c r="K49">
        <v>1</v>
      </c>
      <c r="N49" t="s">
        <v>233</v>
      </c>
      <c r="O49" t="s">
        <v>234</v>
      </c>
      <c r="P49" t="s">
        <v>24</v>
      </c>
      <c r="Q49" t="s">
        <v>24</v>
      </c>
    </row>
    <row r="50" spans="1:17" x14ac:dyDescent="0.25">
      <c r="A50">
        <v>51</v>
      </c>
      <c r="B50" t="s">
        <v>235</v>
      </c>
      <c r="D50" t="s">
        <v>236</v>
      </c>
      <c r="E50" t="s">
        <v>27</v>
      </c>
      <c r="F50">
        <v>0</v>
      </c>
      <c r="G50">
        <v>0</v>
      </c>
      <c r="H50" t="s">
        <v>57</v>
      </c>
      <c r="I50">
        <v>1</v>
      </c>
      <c r="K50">
        <v>1</v>
      </c>
      <c r="M50" t="s">
        <v>58</v>
      </c>
      <c r="N50" t="s">
        <v>237</v>
      </c>
      <c r="O50" t="s">
        <v>1152</v>
      </c>
      <c r="P50" t="s">
        <v>24</v>
      </c>
      <c r="Q50" t="s">
        <v>24</v>
      </c>
    </row>
    <row r="51" spans="1:17" x14ac:dyDescent="0.25">
      <c r="A51">
        <v>52</v>
      </c>
      <c r="B51" t="s">
        <v>238</v>
      </c>
      <c r="D51" t="s">
        <v>239</v>
      </c>
      <c r="E51" t="s">
        <v>27</v>
      </c>
      <c r="F51">
        <v>0</v>
      </c>
      <c r="G51">
        <v>0</v>
      </c>
      <c r="H51" t="s">
        <v>57</v>
      </c>
      <c r="I51">
        <v>1</v>
      </c>
      <c r="K51">
        <v>1</v>
      </c>
      <c r="M51" t="s">
        <v>62</v>
      </c>
      <c r="N51" t="s">
        <v>240</v>
      </c>
      <c r="O51" t="s">
        <v>241</v>
      </c>
      <c r="P51" t="s">
        <v>24</v>
      </c>
      <c r="Q51" t="s">
        <v>24</v>
      </c>
    </row>
    <row r="52" spans="1:17" x14ac:dyDescent="0.25">
      <c r="A52">
        <v>53</v>
      </c>
      <c r="B52" t="s">
        <v>242</v>
      </c>
      <c r="C52" t="s">
        <v>243</v>
      </c>
      <c r="D52" t="s">
        <v>244</v>
      </c>
      <c r="E52" t="s">
        <v>27</v>
      </c>
      <c r="F52">
        <v>1</v>
      </c>
      <c r="G52">
        <v>0</v>
      </c>
      <c r="H52" t="s">
        <v>245</v>
      </c>
      <c r="I52">
        <v>0</v>
      </c>
      <c r="K52">
        <v>0</v>
      </c>
      <c r="N52" t="s">
        <v>246</v>
      </c>
      <c r="O52" t="s">
        <v>247</v>
      </c>
      <c r="P52" t="s">
        <v>24</v>
      </c>
      <c r="Q52" t="s">
        <v>24</v>
      </c>
    </row>
    <row r="53" spans="1:17" x14ac:dyDescent="0.25">
      <c r="A53">
        <v>54</v>
      </c>
      <c r="B53" t="s">
        <v>248</v>
      </c>
      <c r="D53" t="s">
        <v>249</v>
      </c>
      <c r="E53" t="s">
        <v>27</v>
      </c>
      <c r="F53">
        <v>1</v>
      </c>
      <c r="G53">
        <v>0</v>
      </c>
      <c r="H53" t="s">
        <v>57</v>
      </c>
      <c r="I53">
        <v>1</v>
      </c>
      <c r="K53">
        <v>1</v>
      </c>
      <c r="N53" t="s">
        <v>250</v>
      </c>
      <c r="O53" t="s">
        <v>251</v>
      </c>
      <c r="P53" t="s">
        <v>24</v>
      </c>
      <c r="Q53" t="s">
        <v>24</v>
      </c>
    </row>
    <row r="54" spans="1:17" x14ac:dyDescent="0.25">
      <c r="A54">
        <v>55</v>
      </c>
      <c r="B54" t="s">
        <v>252</v>
      </c>
      <c r="D54" t="s">
        <v>253</v>
      </c>
      <c r="E54" t="s">
        <v>192</v>
      </c>
      <c r="F54">
        <v>1</v>
      </c>
      <c r="G54">
        <v>0</v>
      </c>
      <c r="H54" t="s">
        <v>254</v>
      </c>
      <c r="I54">
        <v>0</v>
      </c>
      <c r="K54">
        <v>0</v>
      </c>
      <c r="N54" t="s">
        <v>255</v>
      </c>
      <c r="O54" t="s">
        <v>256</v>
      </c>
      <c r="P54" t="s">
        <v>24</v>
      </c>
      <c r="Q54" t="s">
        <v>24</v>
      </c>
    </row>
    <row r="55" spans="1:17" x14ac:dyDescent="0.25">
      <c r="A55">
        <v>56</v>
      </c>
      <c r="B55" t="s">
        <v>257</v>
      </c>
      <c r="D55" t="s">
        <v>258</v>
      </c>
      <c r="E55" t="s">
        <v>27</v>
      </c>
      <c r="F55">
        <v>0</v>
      </c>
      <c r="G55">
        <v>0</v>
      </c>
      <c r="H55" t="s">
        <v>57</v>
      </c>
      <c r="I55">
        <v>1</v>
      </c>
      <c r="K55">
        <v>1</v>
      </c>
      <c r="M55" t="s">
        <v>78</v>
      </c>
      <c r="N55" t="s">
        <v>259</v>
      </c>
      <c r="O55" t="s">
        <v>1153</v>
      </c>
      <c r="P55" t="s">
        <v>24</v>
      </c>
      <c r="Q55" t="s">
        <v>24</v>
      </c>
    </row>
    <row r="56" spans="1:17" x14ac:dyDescent="0.25">
      <c r="A56">
        <v>57</v>
      </c>
      <c r="B56" t="s">
        <v>260</v>
      </c>
      <c r="D56" t="s">
        <v>261</v>
      </c>
      <c r="E56" t="s">
        <v>27</v>
      </c>
      <c r="F56">
        <v>0</v>
      </c>
      <c r="G56">
        <v>0</v>
      </c>
      <c r="H56" t="s">
        <v>57</v>
      </c>
      <c r="I56">
        <v>1</v>
      </c>
      <c r="K56">
        <v>1</v>
      </c>
      <c r="M56" t="s">
        <v>78</v>
      </c>
      <c r="N56" t="s">
        <v>262</v>
      </c>
      <c r="O56" t="s">
        <v>1154</v>
      </c>
      <c r="P56" t="s">
        <v>24</v>
      </c>
      <c r="Q56" t="s">
        <v>24</v>
      </c>
    </row>
    <row r="57" spans="1:17" x14ac:dyDescent="0.25">
      <c r="A57">
        <v>58</v>
      </c>
      <c r="B57" t="s">
        <v>263</v>
      </c>
      <c r="D57" t="s">
        <v>264</v>
      </c>
      <c r="E57" t="s">
        <v>39</v>
      </c>
      <c r="F57">
        <v>1</v>
      </c>
      <c r="G57">
        <v>0</v>
      </c>
      <c r="H57" t="s">
        <v>265</v>
      </c>
      <c r="I57">
        <v>0</v>
      </c>
      <c r="K57">
        <v>0</v>
      </c>
      <c r="N57" t="s">
        <v>266</v>
      </c>
      <c r="O57" t="s">
        <v>267</v>
      </c>
      <c r="P57" t="s">
        <v>24</v>
      </c>
      <c r="Q57" t="s">
        <v>24</v>
      </c>
    </row>
    <row r="58" spans="1:17" x14ac:dyDescent="0.25">
      <c r="A58">
        <v>59</v>
      </c>
      <c r="B58" t="s">
        <v>72</v>
      </c>
      <c r="C58" t="s">
        <v>268</v>
      </c>
      <c r="D58" t="s">
        <v>269</v>
      </c>
      <c r="E58" t="s">
        <v>27</v>
      </c>
      <c r="F58">
        <v>0</v>
      </c>
      <c r="G58">
        <v>0</v>
      </c>
      <c r="H58" t="s">
        <v>57</v>
      </c>
      <c r="I58">
        <v>1</v>
      </c>
      <c r="K58">
        <v>1</v>
      </c>
      <c r="N58" t="s">
        <v>270</v>
      </c>
      <c r="O58" t="s">
        <v>271</v>
      </c>
      <c r="P58" t="s">
        <v>24</v>
      </c>
      <c r="Q58" t="s">
        <v>24</v>
      </c>
    </row>
    <row r="59" spans="1:17" x14ac:dyDescent="0.25">
      <c r="A59">
        <v>60</v>
      </c>
      <c r="B59" t="s">
        <v>272</v>
      </c>
      <c r="D59" t="s">
        <v>273</v>
      </c>
      <c r="E59" t="s">
        <v>27</v>
      </c>
      <c r="F59">
        <v>0</v>
      </c>
      <c r="G59">
        <v>0</v>
      </c>
      <c r="H59" t="s">
        <v>57</v>
      </c>
      <c r="I59">
        <v>1</v>
      </c>
      <c r="K59">
        <v>1</v>
      </c>
      <c r="M59" t="s">
        <v>92</v>
      </c>
      <c r="N59" t="s">
        <v>274</v>
      </c>
      <c r="O59" t="s">
        <v>1155</v>
      </c>
      <c r="P59" t="s">
        <v>24</v>
      </c>
      <c r="Q59" t="s">
        <v>24</v>
      </c>
    </row>
    <row r="60" spans="1:17" x14ac:dyDescent="0.25">
      <c r="A60">
        <v>61</v>
      </c>
      <c r="B60" t="s">
        <v>275</v>
      </c>
      <c r="D60" t="s">
        <v>276</v>
      </c>
      <c r="E60" t="s">
        <v>27</v>
      </c>
      <c r="F60">
        <v>0</v>
      </c>
      <c r="G60">
        <v>0</v>
      </c>
      <c r="H60" t="s">
        <v>57</v>
      </c>
      <c r="I60">
        <v>1</v>
      </c>
      <c r="K60">
        <v>1</v>
      </c>
      <c r="L60" t="s">
        <v>277</v>
      </c>
      <c r="M60" t="s">
        <v>278</v>
      </c>
      <c r="N60" t="s">
        <v>279</v>
      </c>
      <c r="O60" t="s">
        <v>1156</v>
      </c>
      <c r="P60" t="s">
        <v>24</v>
      </c>
      <c r="Q60" t="s">
        <v>24</v>
      </c>
    </row>
    <row r="61" spans="1:17" x14ac:dyDescent="0.25">
      <c r="A61">
        <v>62</v>
      </c>
      <c r="B61" t="s">
        <v>280</v>
      </c>
      <c r="D61" t="s">
        <v>281</v>
      </c>
      <c r="E61" t="s">
        <v>27</v>
      </c>
      <c r="F61">
        <v>0</v>
      </c>
      <c r="G61">
        <v>0</v>
      </c>
      <c r="H61" t="s">
        <v>57</v>
      </c>
      <c r="I61">
        <v>1</v>
      </c>
      <c r="K61">
        <v>1</v>
      </c>
      <c r="L61" t="s">
        <v>282</v>
      </c>
      <c r="M61" t="s">
        <v>278</v>
      </c>
      <c r="N61" t="s">
        <v>283</v>
      </c>
      <c r="O61" t="s">
        <v>1157</v>
      </c>
      <c r="P61" t="s">
        <v>24</v>
      </c>
      <c r="Q61" t="s">
        <v>24</v>
      </c>
    </row>
    <row r="62" spans="1:17" x14ac:dyDescent="0.25">
      <c r="A62">
        <v>63</v>
      </c>
      <c r="B62" t="s">
        <v>284</v>
      </c>
      <c r="D62" t="s">
        <v>285</v>
      </c>
      <c r="E62" t="s">
        <v>27</v>
      </c>
      <c r="F62">
        <v>0</v>
      </c>
      <c r="G62">
        <v>0</v>
      </c>
      <c r="H62" t="s">
        <v>57</v>
      </c>
      <c r="I62">
        <v>1</v>
      </c>
      <c r="K62">
        <v>1</v>
      </c>
      <c r="L62" t="s">
        <v>286</v>
      </c>
      <c r="M62" t="s">
        <v>278</v>
      </c>
      <c r="N62" t="s">
        <v>287</v>
      </c>
      <c r="O62" t="s">
        <v>1158</v>
      </c>
      <c r="P62" t="s">
        <v>24</v>
      </c>
      <c r="Q62" t="s">
        <v>24</v>
      </c>
    </row>
    <row r="63" spans="1:17" x14ac:dyDescent="0.25">
      <c r="A63">
        <v>64</v>
      </c>
      <c r="B63" t="s">
        <v>288</v>
      </c>
      <c r="D63" t="s">
        <v>289</v>
      </c>
      <c r="E63" t="s">
        <v>27</v>
      </c>
      <c r="F63">
        <v>0</v>
      </c>
      <c r="G63">
        <v>0</v>
      </c>
      <c r="H63" t="s">
        <v>57</v>
      </c>
      <c r="I63">
        <v>1</v>
      </c>
      <c r="K63">
        <v>1</v>
      </c>
      <c r="M63" t="s">
        <v>74</v>
      </c>
      <c r="N63" t="s">
        <v>290</v>
      </c>
      <c r="O63" t="s">
        <v>291</v>
      </c>
      <c r="P63" t="s">
        <v>24</v>
      </c>
      <c r="Q63" t="s">
        <v>24</v>
      </c>
    </row>
    <row r="64" spans="1:17" x14ac:dyDescent="0.25">
      <c r="A64">
        <v>65</v>
      </c>
      <c r="B64" t="s">
        <v>278</v>
      </c>
      <c r="D64" t="s">
        <v>292</v>
      </c>
      <c r="E64" t="s">
        <v>27</v>
      </c>
      <c r="F64">
        <v>1</v>
      </c>
      <c r="G64">
        <v>1</v>
      </c>
      <c r="H64" t="s">
        <v>57</v>
      </c>
      <c r="I64">
        <v>1</v>
      </c>
      <c r="K64">
        <v>1</v>
      </c>
      <c r="L64" t="s">
        <v>293</v>
      </c>
      <c r="N64" t="s">
        <v>294</v>
      </c>
      <c r="O64" t="s">
        <v>1159</v>
      </c>
      <c r="P64" t="s">
        <v>24</v>
      </c>
      <c r="Q64" t="s">
        <v>24</v>
      </c>
    </row>
    <row r="65" spans="1:17" x14ac:dyDescent="0.25">
      <c r="A65">
        <v>66</v>
      </c>
      <c r="B65" t="s">
        <v>295</v>
      </c>
      <c r="D65" t="s">
        <v>296</v>
      </c>
      <c r="E65" t="s">
        <v>27</v>
      </c>
      <c r="F65">
        <v>1</v>
      </c>
      <c r="G65">
        <v>0</v>
      </c>
      <c r="H65" t="s">
        <v>297</v>
      </c>
      <c r="I65">
        <v>1</v>
      </c>
      <c r="J65" t="s">
        <v>298</v>
      </c>
      <c r="K65">
        <v>0</v>
      </c>
      <c r="N65" t="s">
        <v>299</v>
      </c>
      <c r="O65" t="s">
        <v>300</v>
      </c>
      <c r="P65" t="s">
        <v>24</v>
      </c>
      <c r="Q65" t="s">
        <v>24</v>
      </c>
    </row>
    <row r="66" spans="1:17" x14ac:dyDescent="0.25">
      <c r="A66">
        <v>67</v>
      </c>
      <c r="B66" t="s">
        <v>301</v>
      </c>
      <c r="C66" t="s">
        <v>302</v>
      </c>
      <c r="D66" t="s">
        <v>303</v>
      </c>
      <c r="E66" t="s">
        <v>27</v>
      </c>
      <c r="F66">
        <v>1</v>
      </c>
      <c r="G66">
        <v>0</v>
      </c>
      <c r="H66" t="s">
        <v>304</v>
      </c>
      <c r="I66">
        <v>1</v>
      </c>
      <c r="J66" t="s">
        <v>305</v>
      </c>
      <c r="K66">
        <v>0</v>
      </c>
      <c r="N66" t="s">
        <v>306</v>
      </c>
      <c r="O66" t="s">
        <v>307</v>
      </c>
      <c r="P66" t="s">
        <v>24</v>
      </c>
      <c r="Q66" t="s">
        <v>24</v>
      </c>
    </row>
    <row r="67" spans="1:17" x14ac:dyDescent="0.25">
      <c r="A67">
        <v>68</v>
      </c>
      <c r="B67" t="s">
        <v>308</v>
      </c>
      <c r="D67" t="s">
        <v>309</v>
      </c>
      <c r="E67" t="s">
        <v>27</v>
      </c>
      <c r="F67">
        <v>1</v>
      </c>
      <c r="G67">
        <v>1</v>
      </c>
      <c r="H67" t="s">
        <v>310</v>
      </c>
      <c r="I67">
        <v>1</v>
      </c>
      <c r="K67">
        <v>0</v>
      </c>
      <c r="N67" t="s">
        <v>311</v>
      </c>
      <c r="O67" t="s">
        <v>312</v>
      </c>
      <c r="P67" t="s">
        <v>24</v>
      </c>
      <c r="Q67" t="s">
        <v>24</v>
      </c>
    </row>
    <row r="68" spans="1:17" x14ac:dyDescent="0.25">
      <c r="A68">
        <v>69</v>
      </c>
      <c r="B68" t="s">
        <v>313</v>
      </c>
      <c r="D68" t="s">
        <v>314</v>
      </c>
      <c r="E68" t="s">
        <v>27</v>
      </c>
      <c r="F68">
        <v>1</v>
      </c>
      <c r="G68">
        <v>0</v>
      </c>
      <c r="H68" t="s">
        <v>310</v>
      </c>
      <c r="I68">
        <v>1</v>
      </c>
      <c r="K68">
        <v>0</v>
      </c>
      <c r="N68" t="s">
        <v>315</v>
      </c>
      <c r="O68" t="s">
        <v>316</v>
      </c>
      <c r="P68" t="s">
        <v>24</v>
      </c>
      <c r="Q68" t="s">
        <v>24</v>
      </c>
    </row>
    <row r="69" spans="1:17" x14ac:dyDescent="0.25">
      <c r="A69">
        <v>463</v>
      </c>
      <c r="B69" t="s">
        <v>317</v>
      </c>
      <c r="C69" t="s">
        <v>24</v>
      </c>
      <c r="D69" t="s">
        <v>318</v>
      </c>
      <c r="E69" t="s">
        <v>27</v>
      </c>
      <c r="F69">
        <v>1</v>
      </c>
      <c r="G69">
        <v>0</v>
      </c>
      <c r="H69" t="s">
        <v>319</v>
      </c>
      <c r="I69">
        <v>1</v>
      </c>
      <c r="J69" t="s">
        <v>24</v>
      </c>
      <c r="K69">
        <v>0</v>
      </c>
      <c r="L69" t="s">
        <v>24</v>
      </c>
      <c r="M69" t="s">
        <v>24</v>
      </c>
      <c r="N69" t="s">
        <v>320</v>
      </c>
      <c r="O69" t="s">
        <v>321</v>
      </c>
      <c r="P69" t="s">
        <v>24</v>
      </c>
      <c r="Q69" t="s">
        <v>24</v>
      </c>
    </row>
    <row r="70" spans="1:17" x14ac:dyDescent="0.25">
      <c r="A70">
        <v>70</v>
      </c>
      <c r="B70" t="s">
        <v>322</v>
      </c>
      <c r="D70" t="s">
        <v>323</v>
      </c>
      <c r="E70" t="s">
        <v>27</v>
      </c>
      <c r="F70">
        <v>0</v>
      </c>
      <c r="G70">
        <v>0</v>
      </c>
      <c r="H70" t="s">
        <v>57</v>
      </c>
      <c r="I70">
        <v>1</v>
      </c>
      <c r="K70">
        <v>1</v>
      </c>
      <c r="M70" t="s">
        <v>92</v>
      </c>
      <c r="N70" t="s">
        <v>324</v>
      </c>
      <c r="O70" t="s">
        <v>325</v>
      </c>
      <c r="P70" t="s">
        <v>24</v>
      </c>
      <c r="Q70" t="s">
        <v>24</v>
      </c>
    </row>
    <row r="71" spans="1:17" x14ac:dyDescent="0.25">
      <c r="A71">
        <v>71</v>
      </c>
      <c r="B71" t="s">
        <v>326</v>
      </c>
      <c r="C71" t="s">
        <v>327</v>
      </c>
      <c r="D71" t="s">
        <v>328</v>
      </c>
      <c r="E71" t="s">
        <v>27</v>
      </c>
      <c r="F71">
        <v>1</v>
      </c>
      <c r="G71">
        <v>0</v>
      </c>
      <c r="H71" t="s">
        <v>96</v>
      </c>
      <c r="I71">
        <v>1</v>
      </c>
      <c r="K71">
        <v>1</v>
      </c>
      <c r="N71" t="s">
        <v>329</v>
      </c>
      <c r="O71" t="s">
        <v>330</v>
      </c>
      <c r="P71" t="s">
        <v>24</v>
      </c>
      <c r="Q71" t="s">
        <v>24</v>
      </c>
    </row>
    <row r="72" spans="1:17" x14ac:dyDescent="0.25">
      <c r="A72">
        <v>72</v>
      </c>
      <c r="B72" t="s">
        <v>331</v>
      </c>
      <c r="D72" t="s">
        <v>332</v>
      </c>
      <c r="E72" t="s">
        <v>27</v>
      </c>
      <c r="F72">
        <v>0</v>
      </c>
      <c r="G72">
        <v>0</v>
      </c>
      <c r="H72" t="s">
        <v>57</v>
      </c>
      <c r="I72">
        <v>1</v>
      </c>
      <c r="K72">
        <v>1</v>
      </c>
      <c r="M72" t="s">
        <v>74</v>
      </c>
      <c r="N72" t="s">
        <v>333</v>
      </c>
      <c r="O72" t="s">
        <v>334</v>
      </c>
      <c r="P72" t="s">
        <v>24</v>
      </c>
      <c r="Q72" t="s">
        <v>24</v>
      </c>
    </row>
    <row r="73" spans="1:17" x14ac:dyDescent="0.25">
      <c r="A73">
        <v>73</v>
      </c>
      <c r="B73" t="s">
        <v>335</v>
      </c>
      <c r="D73" t="s">
        <v>336</v>
      </c>
      <c r="E73" t="s">
        <v>27</v>
      </c>
      <c r="F73">
        <v>1</v>
      </c>
      <c r="G73">
        <v>0</v>
      </c>
      <c r="H73" t="s">
        <v>28</v>
      </c>
      <c r="I73">
        <v>1</v>
      </c>
      <c r="K73">
        <v>1</v>
      </c>
      <c r="N73" t="s">
        <v>337</v>
      </c>
      <c r="O73" t="s">
        <v>338</v>
      </c>
      <c r="P73" t="s">
        <v>24</v>
      </c>
      <c r="Q73" t="s">
        <v>24</v>
      </c>
    </row>
    <row r="74" spans="1:17" x14ac:dyDescent="0.25">
      <c r="A74">
        <v>74</v>
      </c>
      <c r="B74" t="s">
        <v>339</v>
      </c>
      <c r="D74" t="s">
        <v>340</v>
      </c>
      <c r="E74" t="s">
        <v>192</v>
      </c>
      <c r="F74">
        <v>1</v>
      </c>
      <c r="G74">
        <v>0</v>
      </c>
      <c r="H74" t="s">
        <v>341</v>
      </c>
      <c r="I74">
        <v>0</v>
      </c>
      <c r="K74">
        <v>0</v>
      </c>
      <c r="N74" t="s">
        <v>342</v>
      </c>
      <c r="O74" t="s">
        <v>343</v>
      </c>
      <c r="P74" t="s">
        <v>24</v>
      </c>
      <c r="Q74" t="s">
        <v>24</v>
      </c>
    </row>
    <row r="75" spans="1:17" x14ac:dyDescent="0.25">
      <c r="A75">
        <v>75</v>
      </c>
      <c r="B75" t="s">
        <v>344</v>
      </c>
      <c r="C75" t="s">
        <v>345</v>
      </c>
      <c r="D75" t="s">
        <v>346</v>
      </c>
      <c r="E75" t="s">
        <v>27</v>
      </c>
      <c r="F75">
        <v>0</v>
      </c>
      <c r="G75">
        <v>0</v>
      </c>
      <c r="H75" t="s">
        <v>57</v>
      </c>
      <c r="I75">
        <v>1</v>
      </c>
      <c r="K75">
        <v>1</v>
      </c>
      <c r="N75" t="s">
        <v>347</v>
      </c>
      <c r="O75" t="s">
        <v>1160</v>
      </c>
      <c r="P75" t="s">
        <v>24</v>
      </c>
      <c r="Q75" t="s">
        <v>24</v>
      </c>
    </row>
    <row r="76" spans="1:17" x14ac:dyDescent="0.25">
      <c r="A76">
        <v>76</v>
      </c>
      <c r="B76" t="s">
        <v>348</v>
      </c>
      <c r="D76" t="s">
        <v>349</v>
      </c>
      <c r="E76" t="s">
        <v>27</v>
      </c>
      <c r="F76">
        <v>0</v>
      </c>
      <c r="G76">
        <v>0</v>
      </c>
      <c r="H76" t="s">
        <v>57</v>
      </c>
      <c r="I76">
        <v>1</v>
      </c>
      <c r="K76">
        <v>1</v>
      </c>
      <c r="M76" t="s">
        <v>62</v>
      </c>
      <c r="N76" t="s">
        <v>350</v>
      </c>
      <c r="O76" t="s">
        <v>351</v>
      </c>
      <c r="P76" t="s">
        <v>24</v>
      </c>
      <c r="Q76" t="s">
        <v>24</v>
      </c>
    </row>
    <row r="77" spans="1:17" x14ac:dyDescent="0.25">
      <c r="A77">
        <v>77</v>
      </c>
      <c r="B77" t="s">
        <v>352</v>
      </c>
      <c r="D77" t="s">
        <v>353</v>
      </c>
      <c r="E77" t="s">
        <v>39</v>
      </c>
      <c r="F77">
        <v>0</v>
      </c>
      <c r="G77">
        <v>0</v>
      </c>
      <c r="H77" t="s">
        <v>354</v>
      </c>
      <c r="I77">
        <v>1</v>
      </c>
      <c r="K77">
        <v>0</v>
      </c>
      <c r="N77" t="s">
        <v>355</v>
      </c>
      <c r="O77" t="s">
        <v>356</v>
      </c>
      <c r="P77" t="s">
        <v>24</v>
      </c>
      <c r="Q77" t="s">
        <v>24</v>
      </c>
    </row>
    <row r="78" spans="1:17" x14ac:dyDescent="0.25">
      <c r="A78">
        <v>78</v>
      </c>
      <c r="B78" t="s">
        <v>357</v>
      </c>
      <c r="D78" t="s">
        <v>358</v>
      </c>
      <c r="E78" t="s">
        <v>27</v>
      </c>
      <c r="F78">
        <v>0</v>
      </c>
      <c r="G78">
        <v>0</v>
      </c>
      <c r="H78" t="s">
        <v>57</v>
      </c>
      <c r="I78">
        <v>1</v>
      </c>
      <c r="K78">
        <v>1</v>
      </c>
      <c r="M78" t="s">
        <v>74</v>
      </c>
      <c r="N78" t="s">
        <v>359</v>
      </c>
      <c r="O78" t="s">
        <v>360</v>
      </c>
      <c r="P78" t="s">
        <v>24</v>
      </c>
      <c r="Q78" t="s">
        <v>24</v>
      </c>
    </row>
    <row r="79" spans="1:17" x14ac:dyDescent="0.25">
      <c r="A79">
        <v>79</v>
      </c>
      <c r="B79" t="s">
        <v>361</v>
      </c>
      <c r="D79" t="s">
        <v>362</v>
      </c>
      <c r="E79" t="s">
        <v>27</v>
      </c>
      <c r="F79">
        <v>1</v>
      </c>
      <c r="G79">
        <v>0</v>
      </c>
      <c r="H79" t="s">
        <v>363</v>
      </c>
      <c r="I79">
        <v>0</v>
      </c>
      <c r="K79">
        <v>0</v>
      </c>
      <c r="N79" t="s">
        <v>364</v>
      </c>
      <c r="O79" t="s">
        <v>365</v>
      </c>
      <c r="P79" t="s">
        <v>24</v>
      </c>
      <c r="Q79" t="s">
        <v>24</v>
      </c>
    </row>
    <row r="80" spans="1:17" x14ac:dyDescent="0.25">
      <c r="A80">
        <v>80</v>
      </c>
      <c r="B80" t="s">
        <v>366</v>
      </c>
      <c r="D80" t="s">
        <v>367</v>
      </c>
      <c r="E80" t="s">
        <v>27</v>
      </c>
      <c r="F80">
        <v>0</v>
      </c>
      <c r="G80">
        <v>0</v>
      </c>
      <c r="H80" t="s">
        <v>57</v>
      </c>
      <c r="I80">
        <v>1</v>
      </c>
      <c r="K80">
        <v>1</v>
      </c>
      <c r="L80" t="s">
        <v>368</v>
      </c>
      <c r="M80" t="s">
        <v>78</v>
      </c>
      <c r="N80" t="s">
        <v>369</v>
      </c>
      <c r="O80" t="s">
        <v>1161</v>
      </c>
      <c r="P80" t="s">
        <v>24</v>
      </c>
      <c r="Q80" t="s">
        <v>24</v>
      </c>
    </row>
    <row r="81" spans="1:17" x14ac:dyDescent="0.25">
      <c r="A81">
        <v>81</v>
      </c>
      <c r="B81" t="s">
        <v>370</v>
      </c>
      <c r="D81" t="s">
        <v>371</v>
      </c>
      <c r="E81" t="s">
        <v>27</v>
      </c>
      <c r="F81">
        <v>0</v>
      </c>
      <c r="G81">
        <v>0</v>
      </c>
      <c r="H81" t="s">
        <v>57</v>
      </c>
      <c r="I81">
        <v>1</v>
      </c>
      <c r="K81">
        <v>1</v>
      </c>
      <c r="M81" t="s">
        <v>58</v>
      </c>
      <c r="N81" t="s">
        <v>372</v>
      </c>
      <c r="O81" t="s">
        <v>1162</v>
      </c>
      <c r="P81" t="s">
        <v>24</v>
      </c>
      <c r="Q81" t="s">
        <v>24</v>
      </c>
    </row>
    <row r="82" spans="1:17" x14ac:dyDescent="0.25">
      <c r="A82">
        <v>82</v>
      </c>
      <c r="B82" t="s">
        <v>373</v>
      </c>
      <c r="D82" t="s">
        <v>374</v>
      </c>
      <c r="E82" t="s">
        <v>27</v>
      </c>
      <c r="F82">
        <v>0</v>
      </c>
      <c r="G82">
        <v>0</v>
      </c>
      <c r="H82" t="s">
        <v>57</v>
      </c>
      <c r="I82">
        <v>1</v>
      </c>
      <c r="K82">
        <v>1</v>
      </c>
      <c r="P82" t="s">
        <v>24</v>
      </c>
      <c r="Q82" t="s">
        <v>24</v>
      </c>
    </row>
    <row r="83" spans="1:17" x14ac:dyDescent="0.25">
      <c r="A83">
        <v>83</v>
      </c>
      <c r="B83" t="s">
        <v>375</v>
      </c>
      <c r="D83" t="s">
        <v>376</v>
      </c>
      <c r="E83" t="s">
        <v>27</v>
      </c>
      <c r="F83">
        <v>0</v>
      </c>
      <c r="G83">
        <v>0</v>
      </c>
      <c r="H83" t="s">
        <v>57</v>
      </c>
      <c r="I83">
        <v>1</v>
      </c>
      <c r="K83">
        <v>1</v>
      </c>
      <c r="M83" t="s">
        <v>74</v>
      </c>
      <c r="N83" t="s">
        <v>377</v>
      </c>
      <c r="O83" t="s">
        <v>1163</v>
      </c>
      <c r="P83" t="s">
        <v>24</v>
      </c>
      <c r="Q83" t="s">
        <v>24</v>
      </c>
    </row>
    <row r="84" spans="1:17" x14ac:dyDescent="0.25">
      <c r="A84">
        <v>84</v>
      </c>
      <c r="B84" t="s">
        <v>378</v>
      </c>
      <c r="D84" t="s">
        <v>379</v>
      </c>
      <c r="E84" t="s">
        <v>27</v>
      </c>
      <c r="F84">
        <v>0</v>
      </c>
      <c r="G84">
        <v>0</v>
      </c>
      <c r="H84" t="s">
        <v>57</v>
      </c>
      <c r="I84">
        <v>1</v>
      </c>
      <c r="K84">
        <v>1</v>
      </c>
      <c r="M84" t="s">
        <v>114</v>
      </c>
      <c r="N84" t="s">
        <v>380</v>
      </c>
      <c r="O84" t="s">
        <v>381</v>
      </c>
      <c r="P84" t="s">
        <v>24</v>
      </c>
      <c r="Q84" t="s">
        <v>24</v>
      </c>
    </row>
    <row r="85" spans="1:17" x14ac:dyDescent="0.25">
      <c r="A85">
        <v>85</v>
      </c>
      <c r="B85" t="s">
        <v>114</v>
      </c>
      <c r="D85" t="s">
        <v>374</v>
      </c>
      <c r="E85" t="s">
        <v>27</v>
      </c>
      <c r="F85">
        <v>1</v>
      </c>
      <c r="G85">
        <v>0</v>
      </c>
      <c r="H85" t="s">
        <v>57</v>
      </c>
      <c r="I85">
        <v>1</v>
      </c>
      <c r="K85">
        <v>1</v>
      </c>
      <c r="L85" t="s">
        <v>382</v>
      </c>
      <c r="N85" t="s">
        <v>383</v>
      </c>
      <c r="O85" t="s">
        <v>384</v>
      </c>
      <c r="P85" t="s">
        <v>24</v>
      </c>
      <c r="Q85" t="s">
        <v>24</v>
      </c>
    </row>
    <row r="86" spans="1:17" x14ac:dyDescent="0.25">
      <c r="A86">
        <v>86</v>
      </c>
      <c r="B86" t="s">
        <v>385</v>
      </c>
      <c r="D86" t="s">
        <v>386</v>
      </c>
      <c r="E86" t="s">
        <v>27</v>
      </c>
      <c r="F86">
        <v>1</v>
      </c>
      <c r="G86">
        <v>0</v>
      </c>
      <c r="H86" t="s">
        <v>387</v>
      </c>
      <c r="I86">
        <v>0</v>
      </c>
      <c r="K86">
        <v>0</v>
      </c>
      <c r="N86" t="s">
        <v>388</v>
      </c>
      <c r="O86" t="s">
        <v>1164</v>
      </c>
      <c r="P86" t="s">
        <v>24</v>
      </c>
      <c r="Q86" t="s">
        <v>24</v>
      </c>
    </row>
    <row r="87" spans="1:17" x14ac:dyDescent="0.25">
      <c r="A87">
        <v>87</v>
      </c>
      <c r="B87" t="s">
        <v>389</v>
      </c>
      <c r="D87" t="s">
        <v>390</v>
      </c>
      <c r="E87" t="s">
        <v>27</v>
      </c>
      <c r="F87">
        <v>1</v>
      </c>
      <c r="G87">
        <v>0</v>
      </c>
      <c r="H87" t="s">
        <v>389</v>
      </c>
      <c r="I87">
        <v>0</v>
      </c>
      <c r="K87">
        <v>0</v>
      </c>
      <c r="N87" t="s">
        <v>391</v>
      </c>
      <c r="O87" t="s">
        <v>392</v>
      </c>
      <c r="P87" t="s">
        <v>24</v>
      </c>
      <c r="Q87" t="s">
        <v>24</v>
      </c>
    </row>
    <row r="88" spans="1:17" x14ac:dyDescent="0.25">
      <c r="A88">
        <v>88</v>
      </c>
      <c r="B88" t="s">
        <v>393</v>
      </c>
      <c r="C88" t="s">
        <v>394</v>
      </c>
      <c r="D88" t="s">
        <v>395</v>
      </c>
      <c r="E88" t="s">
        <v>27</v>
      </c>
      <c r="F88">
        <v>1</v>
      </c>
      <c r="G88">
        <v>1</v>
      </c>
      <c r="H88" t="s">
        <v>28</v>
      </c>
      <c r="I88">
        <v>1</v>
      </c>
      <c r="K88">
        <v>1</v>
      </c>
      <c r="N88" t="s">
        <v>396</v>
      </c>
      <c r="O88" t="s">
        <v>397</v>
      </c>
      <c r="P88" t="s">
        <v>24</v>
      </c>
      <c r="Q88" t="s">
        <v>24</v>
      </c>
    </row>
    <row r="89" spans="1:17" x14ac:dyDescent="0.25">
      <c r="A89">
        <v>89</v>
      </c>
      <c r="B89" t="s">
        <v>398</v>
      </c>
      <c r="D89" t="s">
        <v>399</v>
      </c>
      <c r="E89" t="s">
        <v>400</v>
      </c>
      <c r="F89">
        <v>1</v>
      </c>
      <c r="G89">
        <v>0</v>
      </c>
      <c r="H89" t="s">
        <v>401</v>
      </c>
      <c r="I89">
        <v>0</v>
      </c>
      <c r="K89">
        <v>0</v>
      </c>
      <c r="N89" t="s">
        <v>402</v>
      </c>
      <c r="O89" t="s">
        <v>403</v>
      </c>
      <c r="P89" t="s">
        <v>24</v>
      </c>
      <c r="Q89" t="s">
        <v>24</v>
      </c>
    </row>
    <row r="90" spans="1:17" x14ac:dyDescent="0.25">
      <c r="A90">
        <v>90</v>
      </c>
      <c r="B90" t="s">
        <v>404</v>
      </c>
      <c r="D90" t="s">
        <v>405</v>
      </c>
      <c r="E90" t="s">
        <v>27</v>
      </c>
      <c r="F90">
        <v>1</v>
      </c>
      <c r="G90">
        <v>0</v>
      </c>
      <c r="H90" t="s">
        <v>406</v>
      </c>
      <c r="I90">
        <v>0</v>
      </c>
      <c r="K90">
        <v>0</v>
      </c>
      <c r="N90" t="s">
        <v>407</v>
      </c>
      <c r="O90" t="s">
        <v>408</v>
      </c>
      <c r="P90" t="s">
        <v>24</v>
      </c>
      <c r="Q90" t="s">
        <v>24</v>
      </c>
    </row>
    <row r="91" spans="1:17" x14ac:dyDescent="0.25">
      <c r="A91">
        <v>91</v>
      </c>
      <c r="B91" t="s">
        <v>409</v>
      </c>
      <c r="D91" t="s">
        <v>410</v>
      </c>
      <c r="E91" t="s">
        <v>27</v>
      </c>
      <c r="F91">
        <v>0</v>
      </c>
      <c r="G91">
        <v>0</v>
      </c>
      <c r="H91" t="s">
        <v>28</v>
      </c>
      <c r="I91">
        <v>1</v>
      </c>
      <c r="K91">
        <v>0</v>
      </c>
      <c r="N91" t="s">
        <v>411</v>
      </c>
      <c r="O91" t="s">
        <v>1165</v>
      </c>
      <c r="P91" t="s">
        <v>24</v>
      </c>
      <c r="Q91" t="s">
        <v>24</v>
      </c>
    </row>
    <row r="92" spans="1:17" x14ac:dyDescent="0.25">
      <c r="A92">
        <v>92</v>
      </c>
      <c r="B92" t="s">
        <v>412</v>
      </c>
      <c r="D92" t="s">
        <v>413</v>
      </c>
      <c r="E92" t="s">
        <v>39</v>
      </c>
      <c r="F92">
        <v>1</v>
      </c>
      <c r="G92">
        <v>0</v>
      </c>
      <c r="H92" t="s">
        <v>28</v>
      </c>
      <c r="I92">
        <v>1</v>
      </c>
      <c r="K92">
        <v>0</v>
      </c>
      <c r="N92" t="s">
        <v>414</v>
      </c>
      <c r="O92" t="s">
        <v>415</v>
      </c>
      <c r="P92" t="s">
        <v>24</v>
      </c>
      <c r="Q92" t="s">
        <v>24</v>
      </c>
    </row>
    <row r="93" spans="1:17" x14ac:dyDescent="0.25">
      <c r="A93">
        <v>93</v>
      </c>
      <c r="B93" t="s">
        <v>416</v>
      </c>
      <c r="D93" t="s">
        <v>417</v>
      </c>
      <c r="E93" t="s">
        <v>39</v>
      </c>
      <c r="F93">
        <v>1</v>
      </c>
      <c r="G93">
        <v>0</v>
      </c>
      <c r="H93" t="s">
        <v>418</v>
      </c>
      <c r="I93">
        <v>0</v>
      </c>
      <c r="K93">
        <v>0</v>
      </c>
      <c r="N93" t="s">
        <v>419</v>
      </c>
      <c r="O93" t="s">
        <v>420</v>
      </c>
      <c r="P93" t="s">
        <v>24</v>
      </c>
      <c r="Q93" t="s">
        <v>24</v>
      </c>
    </row>
    <row r="94" spans="1:17" x14ac:dyDescent="0.25">
      <c r="A94">
        <v>94</v>
      </c>
      <c r="B94" t="s">
        <v>421</v>
      </c>
      <c r="D94" t="s">
        <v>422</v>
      </c>
      <c r="E94" t="s">
        <v>27</v>
      </c>
      <c r="F94">
        <v>0</v>
      </c>
      <c r="G94">
        <v>0</v>
      </c>
      <c r="H94" t="s">
        <v>57</v>
      </c>
      <c r="I94">
        <v>1</v>
      </c>
      <c r="K94">
        <v>1</v>
      </c>
      <c r="M94" t="s">
        <v>74</v>
      </c>
      <c r="N94" t="s">
        <v>423</v>
      </c>
      <c r="O94" t="s">
        <v>424</v>
      </c>
      <c r="P94" t="s">
        <v>24</v>
      </c>
      <c r="Q94" t="s">
        <v>24</v>
      </c>
    </row>
    <row r="95" spans="1:17" x14ac:dyDescent="0.25">
      <c r="A95">
        <v>95</v>
      </c>
      <c r="B95" t="s">
        <v>425</v>
      </c>
      <c r="D95" t="s">
        <v>426</v>
      </c>
      <c r="E95" t="s">
        <v>39</v>
      </c>
      <c r="F95">
        <v>1</v>
      </c>
      <c r="G95">
        <v>0</v>
      </c>
      <c r="H95" t="s">
        <v>427</v>
      </c>
      <c r="I95">
        <v>0</v>
      </c>
      <c r="K95">
        <v>0</v>
      </c>
      <c r="N95" t="s">
        <v>428</v>
      </c>
      <c r="O95" t="s">
        <v>1166</v>
      </c>
      <c r="P95" t="s">
        <v>24</v>
      </c>
      <c r="Q95" t="s">
        <v>24</v>
      </c>
    </row>
    <row r="96" spans="1:17" x14ac:dyDescent="0.25">
      <c r="A96">
        <v>96</v>
      </c>
      <c r="B96" t="s">
        <v>429</v>
      </c>
      <c r="D96" t="s">
        <v>430</v>
      </c>
      <c r="E96" t="s">
        <v>400</v>
      </c>
      <c r="F96">
        <v>1</v>
      </c>
      <c r="G96">
        <v>0</v>
      </c>
      <c r="H96" t="s">
        <v>431</v>
      </c>
      <c r="I96">
        <v>0</v>
      </c>
      <c r="K96">
        <v>0</v>
      </c>
      <c r="N96" t="s">
        <v>432</v>
      </c>
      <c r="O96" t="s">
        <v>433</v>
      </c>
      <c r="P96" t="s">
        <v>24</v>
      </c>
      <c r="Q96" t="s">
        <v>24</v>
      </c>
    </row>
    <row r="97" spans="1:17" x14ac:dyDescent="0.25">
      <c r="A97">
        <v>97</v>
      </c>
      <c r="B97" t="s">
        <v>434</v>
      </c>
      <c r="D97" t="s">
        <v>435</v>
      </c>
      <c r="E97" t="s">
        <v>27</v>
      </c>
      <c r="F97">
        <v>1</v>
      </c>
      <c r="G97">
        <v>1</v>
      </c>
      <c r="H97" t="s">
        <v>431</v>
      </c>
      <c r="I97">
        <v>1</v>
      </c>
      <c r="K97">
        <v>1</v>
      </c>
      <c r="N97" t="s">
        <v>436</v>
      </c>
      <c r="O97" t="s">
        <v>437</v>
      </c>
      <c r="P97" t="s">
        <v>24</v>
      </c>
      <c r="Q97" t="s">
        <v>24</v>
      </c>
    </row>
    <row r="98" spans="1:17" x14ac:dyDescent="0.25">
      <c r="A98">
        <v>98</v>
      </c>
      <c r="B98" t="s">
        <v>438</v>
      </c>
      <c r="D98" t="s">
        <v>439</v>
      </c>
      <c r="E98" t="s">
        <v>39</v>
      </c>
      <c r="F98">
        <v>0</v>
      </c>
      <c r="G98">
        <v>0</v>
      </c>
      <c r="H98" t="s">
        <v>440</v>
      </c>
      <c r="I98">
        <v>1</v>
      </c>
      <c r="K98">
        <v>0</v>
      </c>
      <c r="P98" t="s">
        <v>24</v>
      </c>
      <c r="Q98" t="s">
        <v>24</v>
      </c>
    </row>
    <row r="99" spans="1:17" x14ac:dyDescent="0.25">
      <c r="A99">
        <v>99</v>
      </c>
      <c r="B99" t="s">
        <v>441</v>
      </c>
      <c r="C99" t="s">
        <v>442</v>
      </c>
      <c r="D99" t="s">
        <v>443</v>
      </c>
      <c r="E99" t="s">
        <v>27</v>
      </c>
      <c r="F99">
        <v>1</v>
      </c>
      <c r="G99">
        <v>0</v>
      </c>
      <c r="H99" t="s">
        <v>442</v>
      </c>
      <c r="I99">
        <v>1</v>
      </c>
      <c r="K99">
        <v>0</v>
      </c>
      <c r="N99" t="s">
        <v>444</v>
      </c>
      <c r="O99" t="s">
        <v>445</v>
      </c>
      <c r="P99" t="s">
        <v>24</v>
      </c>
      <c r="Q99" t="s">
        <v>24</v>
      </c>
    </row>
    <row r="100" spans="1:17" x14ac:dyDescent="0.25">
      <c r="A100">
        <v>100</v>
      </c>
      <c r="B100" t="s">
        <v>446</v>
      </c>
      <c r="D100" t="s">
        <v>447</v>
      </c>
      <c r="E100" t="s">
        <v>27</v>
      </c>
      <c r="F100">
        <v>1</v>
      </c>
      <c r="G100">
        <v>0</v>
      </c>
      <c r="H100" t="s">
        <v>28</v>
      </c>
      <c r="I100">
        <v>1</v>
      </c>
      <c r="K100">
        <v>1</v>
      </c>
      <c r="N100" t="s">
        <v>448</v>
      </c>
      <c r="O100" t="s">
        <v>449</v>
      </c>
      <c r="P100" t="s">
        <v>24</v>
      </c>
      <c r="Q100" t="s">
        <v>24</v>
      </c>
    </row>
    <row r="101" spans="1:17" x14ac:dyDescent="0.25">
      <c r="A101">
        <v>101</v>
      </c>
      <c r="B101" t="s">
        <v>450</v>
      </c>
      <c r="D101" t="s">
        <v>451</v>
      </c>
      <c r="E101" t="s">
        <v>20</v>
      </c>
      <c r="F101">
        <v>1</v>
      </c>
      <c r="G101">
        <v>0</v>
      </c>
      <c r="H101" t="s">
        <v>450</v>
      </c>
      <c r="I101">
        <v>1</v>
      </c>
      <c r="K101">
        <v>0</v>
      </c>
      <c r="N101" t="s">
        <v>452</v>
      </c>
      <c r="O101" t="s">
        <v>453</v>
      </c>
      <c r="P101" t="s">
        <v>24</v>
      </c>
      <c r="Q101" t="s">
        <v>24</v>
      </c>
    </row>
    <row r="102" spans="1:17" x14ac:dyDescent="0.25">
      <c r="A102">
        <v>102</v>
      </c>
      <c r="B102" t="s">
        <v>454</v>
      </c>
      <c r="D102" t="s">
        <v>455</v>
      </c>
      <c r="E102" t="s">
        <v>27</v>
      </c>
      <c r="F102">
        <v>0</v>
      </c>
      <c r="G102">
        <v>0</v>
      </c>
      <c r="H102" t="s">
        <v>57</v>
      </c>
      <c r="I102">
        <v>1</v>
      </c>
      <c r="K102">
        <v>1</v>
      </c>
      <c r="M102" t="s">
        <v>164</v>
      </c>
      <c r="N102" t="s">
        <v>456</v>
      </c>
      <c r="O102" t="s">
        <v>1167</v>
      </c>
      <c r="P102" t="s">
        <v>24</v>
      </c>
      <c r="Q102" t="s">
        <v>24</v>
      </c>
    </row>
    <row r="103" spans="1:17" x14ac:dyDescent="0.25">
      <c r="A103">
        <v>103</v>
      </c>
      <c r="B103" t="s">
        <v>457</v>
      </c>
      <c r="D103" t="s">
        <v>458</v>
      </c>
      <c r="E103" t="s">
        <v>27</v>
      </c>
      <c r="F103">
        <v>1</v>
      </c>
      <c r="G103">
        <v>0</v>
      </c>
      <c r="H103" t="s">
        <v>28</v>
      </c>
      <c r="I103">
        <v>1</v>
      </c>
      <c r="K103">
        <v>1</v>
      </c>
      <c r="N103" t="s">
        <v>459</v>
      </c>
      <c r="O103" t="s">
        <v>460</v>
      </c>
      <c r="P103" t="s">
        <v>24</v>
      </c>
      <c r="Q103" t="s">
        <v>24</v>
      </c>
    </row>
    <row r="104" spans="1:17" x14ac:dyDescent="0.25">
      <c r="A104">
        <v>104</v>
      </c>
      <c r="B104" t="s">
        <v>461</v>
      </c>
      <c r="D104" t="s">
        <v>462</v>
      </c>
      <c r="E104" t="s">
        <v>27</v>
      </c>
      <c r="F104">
        <v>1</v>
      </c>
      <c r="G104">
        <v>0</v>
      </c>
      <c r="H104" t="s">
        <v>28</v>
      </c>
      <c r="I104">
        <v>1</v>
      </c>
      <c r="K104">
        <v>1</v>
      </c>
      <c r="N104" t="s">
        <v>463</v>
      </c>
      <c r="O104" t="s">
        <v>464</v>
      </c>
      <c r="P104" t="s">
        <v>24</v>
      </c>
      <c r="Q104" t="s">
        <v>24</v>
      </c>
    </row>
    <row r="105" spans="1:17" x14ac:dyDescent="0.25">
      <c r="A105">
        <v>105</v>
      </c>
      <c r="B105" t="s">
        <v>465</v>
      </c>
      <c r="D105" t="s">
        <v>466</v>
      </c>
      <c r="E105" t="s">
        <v>27</v>
      </c>
      <c r="F105">
        <v>1</v>
      </c>
      <c r="G105">
        <v>0</v>
      </c>
      <c r="H105" t="s">
        <v>96</v>
      </c>
      <c r="I105">
        <v>1</v>
      </c>
      <c r="K105">
        <v>1</v>
      </c>
      <c r="N105" t="s">
        <v>467</v>
      </c>
      <c r="O105" t="s">
        <v>468</v>
      </c>
      <c r="P105" t="s">
        <v>24</v>
      </c>
      <c r="Q105" t="s">
        <v>24</v>
      </c>
    </row>
    <row r="106" spans="1:17" x14ac:dyDescent="0.25">
      <c r="A106">
        <v>106</v>
      </c>
      <c r="B106" t="s">
        <v>469</v>
      </c>
      <c r="D106" t="s">
        <v>470</v>
      </c>
      <c r="E106" t="s">
        <v>27</v>
      </c>
      <c r="F106">
        <v>0</v>
      </c>
      <c r="G106">
        <v>0</v>
      </c>
      <c r="H106" t="s">
        <v>57</v>
      </c>
      <c r="I106">
        <v>1</v>
      </c>
      <c r="K106">
        <v>1</v>
      </c>
      <c r="M106" t="s">
        <v>74</v>
      </c>
      <c r="N106" t="s">
        <v>471</v>
      </c>
      <c r="O106" t="s">
        <v>1168</v>
      </c>
      <c r="P106" t="s">
        <v>24</v>
      </c>
      <c r="Q106" t="s">
        <v>24</v>
      </c>
    </row>
    <row r="107" spans="1:17" x14ac:dyDescent="0.25">
      <c r="A107">
        <v>107</v>
      </c>
      <c r="B107" t="s">
        <v>472</v>
      </c>
      <c r="D107" t="s">
        <v>473</v>
      </c>
      <c r="E107" t="s">
        <v>27</v>
      </c>
      <c r="F107">
        <v>0</v>
      </c>
      <c r="G107">
        <v>0</v>
      </c>
      <c r="H107" t="s">
        <v>57</v>
      </c>
      <c r="I107">
        <v>1</v>
      </c>
      <c r="K107">
        <v>1</v>
      </c>
      <c r="M107" t="s">
        <v>114</v>
      </c>
      <c r="N107" t="s">
        <v>474</v>
      </c>
      <c r="O107" t="s">
        <v>475</v>
      </c>
      <c r="P107" t="s">
        <v>24</v>
      </c>
      <c r="Q107" t="s">
        <v>24</v>
      </c>
    </row>
    <row r="108" spans="1:17" x14ac:dyDescent="0.25">
      <c r="A108">
        <v>108</v>
      </c>
      <c r="B108" t="s">
        <v>476</v>
      </c>
      <c r="C108" t="s">
        <v>477</v>
      </c>
      <c r="D108" t="s">
        <v>478</v>
      </c>
      <c r="E108" t="s">
        <v>27</v>
      </c>
      <c r="F108">
        <v>1</v>
      </c>
      <c r="G108">
        <v>1</v>
      </c>
      <c r="H108" t="s">
        <v>477</v>
      </c>
      <c r="I108">
        <v>1</v>
      </c>
      <c r="K108">
        <v>0</v>
      </c>
      <c r="N108" t="s">
        <v>479</v>
      </c>
      <c r="O108" t="s">
        <v>480</v>
      </c>
      <c r="P108" t="s">
        <v>24</v>
      </c>
      <c r="Q108" t="s">
        <v>24</v>
      </c>
    </row>
    <row r="109" spans="1:17" x14ac:dyDescent="0.25">
      <c r="A109">
        <v>109</v>
      </c>
      <c r="B109" t="s">
        <v>481</v>
      </c>
      <c r="D109" t="s">
        <v>482</v>
      </c>
      <c r="E109" t="s">
        <v>27</v>
      </c>
      <c r="F109">
        <v>1</v>
      </c>
      <c r="G109">
        <v>0</v>
      </c>
      <c r="H109" t="s">
        <v>483</v>
      </c>
      <c r="I109">
        <v>0</v>
      </c>
      <c r="K109">
        <v>0</v>
      </c>
      <c r="N109" t="s">
        <v>484</v>
      </c>
      <c r="O109" t="s">
        <v>485</v>
      </c>
      <c r="P109" t="s">
        <v>24</v>
      </c>
      <c r="Q109" t="s">
        <v>24</v>
      </c>
    </row>
    <row r="110" spans="1:17" x14ac:dyDescent="0.25">
      <c r="A110">
        <v>110</v>
      </c>
      <c r="B110" t="s">
        <v>486</v>
      </c>
      <c r="D110" t="s">
        <v>487</v>
      </c>
      <c r="E110" t="s">
        <v>20</v>
      </c>
      <c r="F110">
        <v>1</v>
      </c>
      <c r="G110">
        <v>0</v>
      </c>
      <c r="H110" t="s">
        <v>254</v>
      </c>
      <c r="I110">
        <v>0</v>
      </c>
      <c r="K110">
        <v>0</v>
      </c>
      <c r="N110" t="s">
        <v>488</v>
      </c>
      <c r="O110" t="s">
        <v>1169</v>
      </c>
      <c r="P110" t="s">
        <v>24</v>
      </c>
      <c r="Q110" t="s">
        <v>24</v>
      </c>
    </row>
    <row r="111" spans="1:17" x14ac:dyDescent="0.25">
      <c r="A111">
        <v>111</v>
      </c>
      <c r="B111" t="s">
        <v>489</v>
      </c>
      <c r="D111" t="s">
        <v>490</v>
      </c>
      <c r="E111" t="s">
        <v>27</v>
      </c>
      <c r="F111">
        <v>1</v>
      </c>
      <c r="G111">
        <v>0</v>
      </c>
      <c r="H111" t="s">
        <v>491</v>
      </c>
      <c r="I111">
        <v>0</v>
      </c>
      <c r="K111">
        <v>0</v>
      </c>
      <c r="N111" t="s">
        <v>492</v>
      </c>
      <c r="O111" t="s">
        <v>493</v>
      </c>
      <c r="P111" t="s">
        <v>24</v>
      </c>
      <c r="Q111" t="s">
        <v>24</v>
      </c>
    </row>
    <row r="112" spans="1:17" x14ac:dyDescent="0.25">
      <c r="A112">
        <v>112</v>
      </c>
      <c r="B112" t="s">
        <v>494</v>
      </c>
      <c r="D112" t="s">
        <v>495</v>
      </c>
      <c r="E112" t="s">
        <v>27</v>
      </c>
      <c r="F112">
        <v>0</v>
      </c>
      <c r="G112">
        <v>0</v>
      </c>
      <c r="H112" t="s">
        <v>57</v>
      </c>
      <c r="I112">
        <v>1</v>
      </c>
      <c r="K112">
        <v>1</v>
      </c>
      <c r="M112" t="s">
        <v>74</v>
      </c>
      <c r="N112" t="s">
        <v>496</v>
      </c>
      <c r="O112" t="s">
        <v>497</v>
      </c>
      <c r="P112" t="s">
        <v>24</v>
      </c>
      <c r="Q112" t="s">
        <v>24</v>
      </c>
    </row>
    <row r="113" spans="1:17" x14ac:dyDescent="0.25">
      <c r="A113">
        <v>113</v>
      </c>
      <c r="B113" t="s">
        <v>498</v>
      </c>
      <c r="D113" t="s">
        <v>499</v>
      </c>
      <c r="E113" t="s">
        <v>27</v>
      </c>
      <c r="F113">
        <v>0</v>
      </c>
      <c r="G113">
        <v>0</v>
      </c>
      <c r="H113" t="s">
        <v>57</v>
      </c>
      <c r="I113">
        <v>1</v>
      </c>
      <c r="K113">
        <v>1</v>
      </c>
      <c r="M113" t="s">
        <v>144</v>
      </c>
      <c r="N113" t="s">
        <v>500</v>
      </c>
      <c r="O113" t="s">
        <v>501</v>
      </c>
      <c r="P113" t="s">
        <v>24</v>
      </c>
      <c r="Q113" t="s">
        <v>24</v>
      </c>
    </row>
    <row r="114" spans="1:17" x14ac:dyDescent="0.25">
      <c r="A114">
        <v>114</v>
      </c>
      <c r="B114" t="s">
        <v>502</v>
      </c>
      <c r="D114" t="s">
        <v>503</v>
      </c>
      <c r="E114" t="s">
        <v>27</v>
      </c>
      <c r="F114">
        <v>1</v>
      </c>
      <c r="G114">
        <v>0</v>
      </c>
      <c r="H114" t="s">
        <v>504</v>
      </c>
      <c r="I114">
        <v>0</v>
      </c>
      <c r="K114">
        <v>0</v>
      </c>
      <c r="N114" t="s">
        <v>505</v>
      </c>
      <c r="O114" t="s">
        <v>506</v>
      </c>
      <c r="P114" t="s">
        <v>24</v>
      </c>
      <c r="Q114" t="s">
        <v>24</v>
      </c>
    </row>
    <row r="115" spans="1:17" x14ac:dyDescent="0.25">
      <c r="A115">
        <v>115</v>
      </c>
      <c r="B115" t="s">
        <v>507</v>
      </c>
      <c r="D115" t="s">
        <v>508</v>
      </c>
      <c r="E115" t="s">
        <v>39</v>
      </c>
      <c r="F115">
        <v>1</v>
      </c>
      <c r="G115">
        <v>0</v>
      </c>
      <c r="H115" t="s">
        <v>509</v>
      </c>
      <c r="I115">
        <v>0</v>
      </c>
      <c r="K115">
        <v>0</v>
      </c>
      <c r="N115" t="s">
        <v>510</v>
      </c>
      <c r="O115" t="s">
        <v>1170</v>
      </c>
      <c r="P115" t="s">
        <v>24</v>
      </c>
      <c r="Q115" t="s">
        <v>24</v>
      </c>
    </row>
    <row r="116" spans="1:17" x14ac:dyDescent="0.25">
      <c r="A116">
        <v>116</v>
      </c>
      <c r="B116" t="s">
        <v>511</v>
      </c>
      <c r="D116" t="s">
        <v>512</v>
      </c>
      <c r="E116" t="s">
        <v>27</v>
      </c>
      <c r="F116">
        <v>0</v>
      </c>
      <c r="G116">
        <v>0</v>
      </c>
      <c r="H116" t="s">
        <v>511</v>
      </c>
      <c r="I116">
        <v>1</v>
      </c>
      <c r="K116">
        <v>0</v>
      </c>
      <c r="P116" t="s">
        <v>24</v>
      </c>
      <c r="Q116" t="s">
        <v>24</v>
      </c>
    </row>
    <row r="117" spans="1:17" x14ac:dyDescent="0.25">
      <c r="A117">
        <v>117</v>
      </c>
      <c r="B117" t="s">
        <v>513</v>
      </c>
      <c r="D117" t="s">
        <v>514</v>
      </c>
      <c r="E117" t="s">
        <v>27</v>
      </c>
      <c r="F117">
        <v>1</v>
      </c>
      <c r="G117">
        <v>0</v>
      </c>
      <c r="H117" t="s">
        <v>28</v>
      </c>
      <c r="I117">
        <v>1</v>
      </c>
      <c r="K117">
        <v>1</v>
      </c>
      <c r="N117" t="s">
        <v>515</v>
      </c>
      <c r="O117" t="s">
        <v>516</v>
      </c>
      <c r="P117" t="s">
        <v>24</v>
      </c>
      <c r="Q117" t="s">
        <v>24</v>
      </c>
    </row>
    <row r="118" spans="1:17" x14ac:dyDescent="0.25">
      <c r="A118">
        <v>118</v>
      </c>
      <c r="B118" t="s">
        <v>517</v>
      </c>
      <c r="D118" t="s">
        <v>518</v>
      </c>
      <c r="E118" t="s">
        <v>39</v>
      </c>
      <c r="F118">
        <v>1</v>
      </c>
      <c r="G118">
        <v>0</v>
      </c>
      <c r="H118" t="s">
        <v>519</v>
      </c>
      <c r="I118">
        <v>0</v>
      </c>
      <c r="K118">
        <v>0</v>
      </c>
      <c r="N118" t="s">
        <v>520</v>
      </c>
      <c r="O118" t="s">
        <v>521</v>
      </c>
      <c r="P118" t="s">
        <v>24</v>
      </c>
      <c r="Q118" t="s">
        <v>24</v>
      </c>
    </row>
    <row r="119" spans="1:17" x14ac:dyDescent="0.25">
      <c r="A119">
        <v>119</v>
      </c>
      <c r="B119" t="s">
        <v>522</v>
      </c>
      <c r="D119" t="s">
        <v>523</v>
      </c>
      <c r="E119" t="s">
        <v>27</v>
      </c>
      <c r="F119">
        <v>0</v>
      </c>
      <c r="G119">
        <v>0</v>
      </c>
      <c r="H119" t="s">
        <v>341</v>
      </c>
      <c r="I119">
        <v>1</v>
      </c>
      <c r="K119">
        <v>0</v>
      </c>
      <c r="P119" t="s">
        <v>24</v>
      </c>
      <c r="Q119" t="s">
        <v>24</v>
      </c>
    </row>
    <row r="120" spans="1:17" x14ac:dyDescent="0.25">
      <c r="A120">
        <v>120</v>
      </c>
      <c r="B120" t="s">
        <v>524</v>
      </c>
      <c r="C120" t="s">
        <v>525</v>
      </c>
      <c r="D120" t="s">
        <v>526</v>
      </c>
      <c r="E120" t="s">
        <v>20</v>
      </c>
      <c r="F120">
        <v>1</v>
      </c>
      <c r="G120">
        <v>0</v>
      </c>
      <c r="H120" t="s">
        <v>527</v>
      </c>
      <c r="I120">
        <v>1</v>
      </c>
      <c r="K120">
        <v>0</v>
      </c>
      <c r="N120" t="s">
        <v>528</v>
      </c>
      <c r="O120" t="s">
        <v>529</v>
      </c>
      <c r="P120" t="s">
        <v>24</v>
      </c>
      <c r="Q120" t="s">
        <v>24</v>
      </c>
    </row>
    <row r="121" spans="1:17" x14ac:dyDescent="0.25">
      <c r="A121">
        <v>121</v>
      </c>
      <c r="B121" t="s">
        <v>530</v>
      </c>
      <c r="C121" t="s">
        <v>531</v>
      </c>
      <c r="D121" t="s">
        <v>532</v>
      </c>
      <c r="E121" t="s">
        <v>39</v>
      </c>
      <c r="F121">
        <v>1</v>
      </c>
      <c r="G121">
        <v>0</v>
      </c>
      <c r="H121" t="s">
        <v>533</v>
      </c>
      <c r="I121">
        <v>0</v>
      </c>
      <c r="K121">
        <v>0</v>
      </c>
      <c r="N121" t="s">
        <v>534</v>
      </c>
      <c r="O121" t="s">
        <v>535</v>
      </c>
      <c r="P121" t="s">
        <v>24</v>
      </c>
      <c r="Q121" t="s">
        <v>24</v>
      </c>
    </row>
    <row r="122" spans="1:17" x14ac:dyDescent="0.25">
      <c r="A122">
        <v>122</v>
      </c>
      <c r="B122" t="s">
        <v>536</v>
      </c>
      <c r="D122" t="s">
        <v>537</v>
      </c>
      <c r="E122" t="s">
        <v>27</v>
      </c>
      <c r="F122">
        <v>1</v>
      </c>
      <c r="G122">
        <v>1</v>
      </c>
      <c r="H122" t="s">
        <v>536</v>
      </c>
      <c r="I122">
        <v>1</v>
      </c>
      <c r="K122">
        <v>0</v>
      </c>
      <c r="N122" t="s">
        <v>538</v>
      </c>
      <c r="O122" t="s">
        <v>539</v>
      </c>
      <c r="P122" t="s">
        <v>24</v>
      </c>
      <c r="Q122" t="s">
        <v>24</v>
      </c>
    </row>
    <row r="123" spans="1:17" x14ac:dyDescent="0.25">
      <c r="A123">
        <v>123</v>
      </c>
      <c r="B123" t="s">
        <v>540</v>
      </c>
      <c r="D123" t="s">
        <v>541</v>
      </c>
      <c r="E123" t="s">
        <v>27</v>
      </c>
      <c r="F123">
        <v>1</v>
      </c>
      <c r="G123">
        <v>1</v>
      </c>
      <c r="H123" t="s">
        <v>542</v>
      </c>
      <c r="I123">
        <v>1</v>
      </c>
      <c r="K123">
        <v>0</v>
      </c>
      <c r="N123" t="s">
        <v>543</v>
      </c>
      <c r="O123" t="s">
        <v>544</v>
      </c>
      <c r="P123" t="s">
        <v>24</v>
      </c>
      <c r="Q123" t="s">
        <v>24</v>
      </c>
    </row>
    <row r="124" spans="1:17" x14ac:dyDescent="0.25">
      <c r="A124">
        <v>124</v>
      </c>
      <c r="B124" t="s">
        <v>545</v>
      </c>
      <c r="D124" t="s">
        <v>546</v>
      </c>
      <c r="E124" t="s">
        <v>20</v>
      </c>
      <c r="F124">
        <v>1</v>
      </c>
      <c r="G124">
        <v>0</v>
      </c>
      <c r="H124" t="s">
        <v>545</v>
      </c>
      <c r="I124">
        <v>1</v>
      </c>
      <c r="K124">
        <v>0</v>
      </c>
      <c r="N124" t="s">
        <v>547</v>
      </c>
      <c r="O124" t="s">
        <v>548</v>
      </c>
      <c r="P124" t="s">
        <v>24</v>
      </c>
      <c r="Q124" t="s">
        <v>24</v>
      </c>
    </row>
    <row r="125" spans="1:17" x14ac:dyDescent="0.25">
      <c r="A125">
        <v>125</v>
      </c>
      <c r="B125" t="s">
        <v>549</v>
      </c>
      <c r="C125" t="s">
        <v>550</v>
      </c>
      <c r="D125" t="s">
        <v>551</v>
      </c>
      <c r="E125" t="s">
        <v>27</v>
      </c>
      <c r="F125">
        <v>1</v>
      </c>
      <c r="G125">
        <v>0</v>
      </c>
      <c r="H125" t="s">
        <v>28</v>
      </c>
      <c r="I125">
        <v>1</v>
      </c>
      <c r="K125">
        <v>1</v>
      </c>
      <c r="N125" t="s">
        <v>552</v>
      </c>
      <c r="O125" t="s">
        <v>553</v>
      </c>
      <c r="P125" t="s">
        <v>24</v>
      </c>
      <c r="Q125" t="s">
        <v>24</v>
      </c>
    </row>
    <row r="126" spans="1:17" x14ac:dyDescent="0.25">
      <c r="A126">
        <v>126</v>
      </c>
      <c r="B126" t="s">
        <v>554</v>
      </c>
      <c r="D126" t="s">
        <v>555</v>
      </c>
      <c r="E126" t="s">
        <v>39</v>
      </c>
      <c r="F126">
        <v>1</v>
      </c>
      <c r="G126">
        <v>0</v>
      </c>
      <c r="H126" t="s">
        <v>556</v>
      </c>
      <c r="I126">
        <v>1</v>
      </c>
      <c r="K126">
        <v>0</v>
      </c>
      <c r="N126" t="s">
        <v>557</v>
      </c>
      <c r="O126" t="s">
        <v>558</v>
      </c>
      <c r="P126" t="s">
        <v>24</v>
      </c>
      <c r="Q126" t="s">
        <v>24</v>
      </c>
    </row>
    <row r="127" spans="1:17" x14ac:dyDescent="0.25">
      <c r="A127">
        <v>127</v>
      </c>
      <c r="B127" t="s">
        <v>559</v>
      </c>
      <c r="D127" t="s">
        <v>560</v>
      </c>
      <c r="E127" t="s">
        <v>192</v>
      </c>
      <c r="F127">
        <v>1</v>
      </c>
      <c r="G127">
        <v>0</v>
      </c>
      <c r="H127" t="s">
        <v>341</v>
      </c>
      <c r="I127">
        <v>1</v>
      </c>
      <c r="K127">
        <v>0</v>
      </c>
      <c r="N127" t="s">
        <v>561</v>
      </c>
      <c r="O127" t="s">
        <v>562</v>
      </c>
      <c r="P127" t="s">
        <v>24</v>
      </c>
      <c r="Q127" t="s">
        <v>24</v>
      </c>
    </row>
    <row r="128" spans="1:17" x14ac:dyDescent="0.25">
      <c r="A128">
        <v>128</v>
      </c>
      <c r="B128" t="s">
        <v>563</v>
      </c>
      <c r="D128" t="s">
        <v>564</v>
      </c>
      <c r="E128" t="s">
        <v>27</v>
      </c>
      <c r="F128">
        <v>1</v>
      </c>
      <c r="G128">
        <v>0</v>
      </c>
      <c r="H128" t="s">
        <v>565</v>
      </c>
      <c r="I128">
        <v>1</v>
      </c>
      <c r="K128">
        <v>0</v>
      </c>
      <c r="N128" t="s">
        <v>566</v>
      </c>
      <c r="O128" t="s">
        <v>567</v>
      </c>
      <c r="P128" t="s">
        <v>24</v>
      </c>
      <c r="Q128" t="s">
        <v>24</v>
      </c>
    </row>
    <row r="129" spans="1:17" x14ac:dyDescent="0.25">
      <c r="A129">
        <v>129</v>
      </c>
      <c r="B129" t="s">
        <v>568</v>
      </c>
      <c r="D129" t="s">
        <v>569</v>
      </c>
      <c r="E129" t="s">
        <v>27</v>
      </c>
      <c r="F129">
        <v>0</v>
      </c>
      <c r="G129">
        <v>0</v>
      </c>
      <c r="H129" t="s">
        <v>57</v>
      </c>
      <c r="I129">
        <v>1</v>
      </c>
      <c r="K129">
        <v>1</v>
      </c>
      <c r="M129" t="s">
        <v>78</v>
      </c>
      <c r="N129" t="s">
        <v>570</v>
      </c>
      <c r="O129" t="s">
        <v>1171</v>
      </c>
      <c r="P129" t="s">
        <v>24</v>
      </c>
      <c r="Q129" t="s">
        <v>24</v>
      </c>
    </row>
    <row r="130" spans="1:17" x14ac:dyDescent="0.25">
      <c r="A130">
        <v>130</v>
      </c>
      <c r="B130" t="s">
        <v>571</v>
      </c>
      <c r="D130" t="s">
        <v>572</v>
      </c>
      <c r="E130" t="s">
        <v>27</v>
      </c>
      <c r="F130">
        <v>1</v>
      </c>
      <c r="G130">
        <v>0</v>
      </c>
      <c r="H130" t="s">
        <v>573</v>
      </c>
      <c r="I130">
        <v>1</v>
      </c>
      <c r="K130">
        <v>1</v>
      </c>
      <c r="N130" t="s">
        <v>574</v>
      </c>
      <c r="O130" t="s">
        <v>575</v>
      </c>
      <c r="P130" t="s">
        <v>24</v>
      </c>
      <c r="Q130" t="s">
        <v>24</v>
      </c>
    </row>
    <row r="131" spans="1:17" x14ac:dyDescent="0.25">
      <c r="A131">
        <v>131</v>
      </c>
      <c r="B131" t="s">
        <v>576</v>
      </c>
      <c r="D131" t="s">
        <v>577</v>
      </c>
      <c r="E131" t="s">
        <v>27</v>
      </c>
      <c r="F131">
        <v>0</v>
      </c>
      <c r="G131">
        <v>0</v>
      </c>
      <c r="H131" t="s">
        <v>57</v>
      </c>
      <c r="I131">
        <v>1</v>
      </c>
      <c r="K131">
        <v>1</v>
      </c>
      <c r="M131" t="s">
        <v>92</v>
      </c>
      <c r="N131" t="s">
        <v>578</v>
      </c>
      <c r="O131" t="s">
        <v>1172</v>
      </c>
      <c r="P131" t="s">
        <v>24</v>
      </c>
      <c r="Q131" t="s">
        <v>24</v>
      </c>
    </row>
    <row r="132" spans="1:17" x14ac:dyDescent="0.25">
      <c r="A132">
        <v>132</v>
      </c>
      <c r="B132" t="s">
        <v>579</v>
      </c>
      <c r="D132" t="s">
        <v>580</v>
      </c>
      <c r="E132" t="s">
        <v>27</v>
      </c>
      <c r="F132">
        <v>0</v>
      </c>
      <c r="G132">
        <v>0</v>
      </c>
      <c r="H132" t="s">
        <v>57</v>
      </c>
      <c r="I132">
        <v>1</v>
      </c>
      <c r="K132">
        <v>1</v>
      </c>
      <c r="M132" t="s">
        <v>74</v>
      </c>
      <c r="P132" t="s">
        <v>24</v>
      </c>
      <c r="Q132" t="s">
        <v>24</v>
      </c>
    </row>
    <row r="133" spans="1:17" x14ac:dyDescent="0.25">
      <c r="A133">
        <v>133</v>
      </c>
      <c r="B133" t="s">
        <v>581</v>
      </c>
      <c r="D133" t="s">
        <v>582</v>
      </c>
      <c r="E133" t="s">
        <v>27</v>
      </c>
      <c r="F133">
        <v>1</v>
      </c>
      <c r="G133">
        <v>0</v>
      </c>
      <c r="H133" t="s">
        <v>96</v>
      </c>
      <c r="I133">
        <v>1</v>
      </c>
      <c r="K133">
        <v>1</v>
      </c>
      <c r="N133" t="s">
        <v>583</v>
      </c>
      <c r="O133" t="s">
        <v>584</v>
      </c>
      <c r="P133" t="s">
        <v>24</v>
      </c>
      <c r="Q133" t="s">
        <v>24</v>
      </c>
    </row>
    <row r="134" spans="1:17" x14ac:dyDescent="0.25">
      <c r="A134">
        <v>134</v>
      </c>
      <c r="B134" t="s">
        <v>585</v>
      </c>
      <c r="D134" t="s">
        <v>586</v>
      </c>
      <c r="E134" t="s">
        <v>39</v>
      </c>
      <c r="F134">
        <v>1</v>
      </c>
      <c r="G134">
        <v>0</v>
      </c>
      <c r="H134" t="s">
        <v>587</v>
      </c>
      <c r="I134">
        <v>0</v>
      </c>
      <c r="K134">
        <v>0</v>
      </c>
      <c r="N134" t="s">
        <v>588</v>
      </c>
      <c r="O134" t="s">
        <v>1173</v>
      </c>
      <c r="P134" t="s">
        <v>24</v>
      </c>
      <c r="Q134" t="s">
        <v>24</v>
      </c>
    </row>
    <row r="135" spans="1:17" x14ac:dyDescent="0.25">
      <c r="A135">
        <v>135</v>
      </c>
      <c r="B135" t="s">
        <v>589</v>
      </c>
      <c r="D135" t="s">
        <v>590</v>
      </c>
      <c r="E135" t="s">
        <v>39</v>
      </c>
      <c r="F135">
        <v>1</v>
      </c>
      <c r="G135">
        <v>0</v>
      </c>
      <c r="H135" t="s">
        <v>28</v>
      </c>
      <c r="I135">
        <v>1</v>
      </c>
      <c r="K135">
        <v>0</v>
      </c>
      <c r="N135" t="s">
        <v>591</v>
      </c>
      <c r="O135" t="s">
        <v>592</v>
      </c>
      <c r="P135" t="s">
        <v>24</v>
      </c>
      <c r="Q135" t="s">
        <v>24</v>
      </c>
    </row>
    <row r="136" spans="1:17" x14ac:dyDescent="0.25">
      <c r="A136">
        <v>474</v>
      </c>
      <c r="B136" t="s">
        <v>593</v>
      </c>
      <c r="C136" t="s">
        <v>24</v>
      </c>
      <c r="D136" t="s">
        <v>594</v>
      </c>
      <c r="F136">
        <v>1</v>
      </c>
      <c r="G136">
        <v>0</v>
      </c>
      <c r="I136">
        <v>0</v>
      </c>
      <c r="J136" t="s">
        <v>24</v>
      </c>
      <c r="K136">
        <v>0</v>
      </c>
      <c r="L136" t="s">
        <v>24</v>
      </c>
      <c r="M136" t="s">
        <v>24</v>
      </c>
      <c r="N136" t="s">
        <v>595</v>
      </c>
      <c r="P136" t="s">
        <v>24</v>
      </c>
      <c r="Q136" t="s">
        <v>24</v>
      </c>
    </row>
    <row r="137" spans="1:17" x14ac:dyDescent="0.25">
      <c r="A137">
        <v>475</v>
      </c>
      <c r="C137" t="s">
        <v>24</v>
      </c>
      <c r="F137">
        <v>1</v>
      </c>
      <c r="G137">
        <v>0</v>
      </c>
      <c r="I137">
        <v>1</v>
      </c>
      <c r="J137" t="s">
        <v>24</v>
      </c>
      <c r="K137">
        <v>0</v>
      </c>
      <c r="L137" t="s">
        <v>24</v>
      </c>
      <c r="M137" t="s">
        <v>24</v>
      </c>
      <c r="P137" t="s">
        <v>24</v>
      </c>
      <c r="Q137" t="s">
        <v>24</v>
      </c>
    </row>
    <row r="138" spans="1:17" x14ac:dyDescent="0.25">
      <c r="A138">
        <v>136</v>
      </c>
      <c r="B138" t="s">
        <v>596</v>
      </c>
      <c r="D138" t="s">
        <v>597</v>
      </c>
      <c r="E138" t="s">
        <v>39</v>
      </c>
      <c r="F138">
        <v>1</v>
      </c>
      <c r="G138">
        <v>0</v>
      </c>
      <c r="H138" t="s">
        <v>598</v>
      </c>
      <c r="I138">
        <v>0</v>
      </c>
      <c r="K138">
        <v>0</v>
      </c>
      <c r="N138" t="s">
        <v>599</v>
      </c>
      <c r="O138" t="s">
        <v>599</v>
      </c>
      <c r="P138" t="s">
        <v>24</v>
      </c>
      <c r="Q138" t="s">
        <v>24</v>
      </c>
    </row>
    <row r="139" spans="1:17" x14ac:dyDescent="0.25">
      <c r="A139">
        <v>137</v>
      </c>
      <c r="B139" t="s">
        <v>600</v>
      </c>
      <c r="D139" t="s">
        <v>601</v>
      </c>
      <c r="E139" t="s">
        <v>27</v>
      </c>
      <c r="F139">
        <v>0</v>
      </c>
      <c r="G139">
        <v>0</v>
      </c>
      <c r="H139" t="s">
        <v>57</v>
      </c>
      <c r="I139">
        <v>1</v>
      </c>
      <c r="K139">
        <v>1</v>
      </c>
      <c r="M139" t="s">
        <v>78</v>
      </c>
      <c r="N139" t="s">
        <v>602</v>
      </c>
      <c r="O139" t="s">
        <v>1174</v>
      </c>
      <c r="P139" t="s">
        <v>24</v>
      </c>
      <c r="Q139" t="s">
        <v>24</v>
      </c>
    </row>
    <row r="140" spans="1:17" x14ac:dyDescent="0.25">
      <c r="A140">
        <v>138</v>
      </c>
      <c r="B140" t="s">
        <v>603</v>
      </c>
      <c r="D140" t="s">
        <v>604</v>
      </c>
      <c r="E140" t="s">
        <v>400</v>
      </c>
      <c r="F140">
        <v>0</v>
      </c>
      <c r="G140">
        <v>0</v>
      </c>
      <c r="H140" t="s">
        <v>57</v>
      </c>
      <c r="I140">
        <v>1</v>
      </c>
      <c r="K140">
        <v>1</v>
      </c>
      <c r="N140" t="s">
        <v>605</v>
      </c>
      <c r="O140" t="s">
        <v>1175</v>
      </c>
      <c r="P140" t="s">
        <v>24</v>
      </c>
      <c r="Q140" t="s">
        <v>24</v>
      </c>
    </row>
    <row r="141" spans="1:17" x14ac:dyDescent="0.25">
      <c r="A141">
        <v>139</v>
      </c>
      <c r="B141" t="s">
        <v>606</v>
      </c>
      <c r="D141" t="s">
        <v>607</v>
      </c>
      <c r="E141" t="s">
        <v>27</v>
      </c>
      <c r="F141">
        <v>1</v>
      </c>
      <c r="G141">
        <v>0</v>
      </c>
      <c r="H141" t="s">
        <v>28</v>
      </c>
      <c r="I141">
        <v>1</v>
      </c>
      <c r="K141">
        <v>1</v>
      </c>
      <c r="N141" t="s">
        <v>608</v>
      </c>
      <c r="O141" t="s">
        <v>609</v>
      </c>
      <c r="P141" t="s">
        <v>24</v>
      </c>
      <c r="Q141" t="s">
        <v>24</v>
      </c>
    </row>
    <row r="142" spans="1:17" x14ac:dyDescent="0.25">
      <c r="A142">
        <v>140</v>
      </c>
      <c r="B142" t="s">
        <v>610</v>
      </c>
      <c r="D142" t="s">
        <v>611</v>
      </c>
      <c r="E142" t="s">
        <v>27</v>
      </c>
      <c r="F142">
        <v>1</v>
      </c>
      <c r="G142">
        <v>0</v>
      </c>
      <c r="H142" t="s">
        <v>612</v>
      </c>
      <c r="I142">
        <v>0</v>
      </c>
      <c r="K142">
        <v>0</v>
      </c>
      <c r="N142" t="s">
        <v>613</v>
      </c>
      <c r="O142" t="s">
        <v>614</v>
      </c>
      <c r="P142" t="s">
        <v>24</v>
      </c>
      <c r="Q142" t="s">
        <v>24</v>
      </c>
    </row>
    <row r="143" spans="1:17" x14ac:dyDescent="0.25">
      <c r="A143">
        <v>141</v>
      </c>
      <c r="B143" t="s">
        <v>615</v>
      </c>
      <c r="C143" t="s">
        <v>616</v>
      </c>
      <c r="D143" t="s">
        <v>617</v>
      </c>
      <c r="E143" t="s">
        <v>27</v>
      </c>
      <c r="F143">
        <v>1</v>
      </c>
      <c r="G143">
        <v>0</v>
      </c>
      <c r="H143" t="s">
        <v>618</v>
      </c>
      <c r="I143">
        <v>0</v>
      </c>
      <c r="K143">
        <v>0</v>
      </c>
      <c r="N143" t="s">
        <v>619</v>
      </c>
      <c r="O143" t="s">
        <v>620</v>
      </c>
      <c r="P143" t="s">
        <v>24</v>
      </c>
      <c r="Q143" t="s">
        <v>24</v>
      </c>
    </row>
    <row r="144" spans="1:17" x14ac:dyDescent="0.25">
      <c r="A144">
        <v>142</v>
      </c>
      <c r="B144" t="s">
        <v>621</v>
      </c>
      <c r="C144" t="s">
        <v>622</v>
      </c>
      <c r="D144" t="s">
        <v>623</v>
      </c>
      <c r="E144" t="s">
        <v>27</v>
      </c>
      <c r="F144">
        <v>1</v>
      </c>
      <c r="G144">
        <v>0</v>
      </c>
      <c r="H144" t="s">
        <v>624</v>
      </c>
      <c r="I144">
        <v>1</v>
      </c>
      <c r="K144">
        <v>0</v>
      </c>
      <c r="N144" t="s">
        <v>625</v>
      </c>
      <c r="O144" t="s">
        <v>626</v>
      </c>
      <c r="P144" t="s">
        <v>24</v>
      </c>
      <c r="Q144" t="s">
        <v>24</v>
      </c>
    </row>
    <row r="145" spans="1:17" x14ac:dyDescent="0.25">
      <c r="A145">
        <v>143</v>
      </c>
      <c r="B145" t="s">
        <v>627</v>
      </c>
      <c r="D145" t="s">
        <v>628</v>
      </c>
      <c r="E145" t="s">
        <v>172</v>
      </c>
      <c r="F145">
        <v>1</v>
      </c>
      <c r="G145">
        <v>0</v>
      </c>
      <c r="H145" t="s">
        <v>629</v>
      </c>
      <c r="I145">
        <v>1</v>
      </c>
      <c r="J145" t="s">
        <v>630</v>
      </c>
      <c r="K145">
        <v>0</v>
      </c>
      <c r="N145" t="s">
        <v>631</v>
      </c>
      <c r="O145" t="s">
        <v>632</v>
      </c>
      <c r="P145" t="s">
        <v>24</v>
      </c>
      <c r="Q145" t="s">
        <v>24</v>
      </c>
    </row>
    <row r="146" spans="1:17" x14ac:dyDescent="0.25">
      <c r="A146">
        <v>144</v>
      </c>
      <c r="B146" t="s">
        <v>633</v>
      </c>
      <c r="D146" t="s">
        <v>634</v>
      </c>
      <c r="E146" t="s">
        <v>192</v>
      </c>
      <c r="F146">
        <v>1</v>
      </c>
      <c r="G146">
        <v>0</v>
      </c>
      <c r="H146" t="s">
        <v>635</v>
      </c>
      <c r="I146">
        <v>0</v>
      </c>
      <c r="K146">
        <v>0</v>
      </c>
      <c r="N146" t="s">
        <v>636</v>
      </c>
      <c r="O146" t="s">
        <v>637</v>
      </c>
      <c r="P146" t="s">
        <v>24</v>
      </c>
      <c r="Q146" t="s">
        <v>24</v>
      </c>
    </row>
    <row r="147" spans="1:17" x14ac:dyDescent="0.25">
      <c r="A147">
        <v>145</v>
      </c>
      <c r="B147" t="s">
        <v>638</v>
      </c>
      <c r="D147" t="s">
        <v>639</v>
      </c>
      <c r="E147" t="s">
        <v>27</v>
      </c>
      <c r="F147">
        <v>0</v>
      </c>
      <c r="G147">
        <v>0</v>
      </c>
      <c r="H147" t="s">
        <v>640</v>
      </c>
      <c r="I147">
        <v>1</v>
      </c>
      <c r="K147">
        <v>0</v>
      </c>
      <c r="N147" t="s">
        <v>641</v>
      </c>
      <c r="O147" t="s">
        <v>1176</v>
      </c>
      <c r="P147" t="s">
        <v>24</v>
      </c>
      <c r="Q147" t="s">
        <v>24</v>
      </c>
    </row>
    <row r="148" spans="1:17" x14ac:dyDescent="0.25">
      <c r="A148">
        <v>146</v>
      </c>
      <c r="B148" t="s">
        <v>642</v>
      </c>
      <c r="D148" t="s">
        <v>643</v>
      </c>
      <c r="E148" t="s">
        <v>27</v>
      </c>
      <c r="F148">
        <v>1</v>
      </c>
      <c r="G148">
        <v>0</v>
      </c>
      <c r="H148" t="s">
        <v>28</v>
      </c>
      <c r="I148">
        <v>1</v>
      </c>
      <c r="K148">
        <v>0</v>
      </c>
      <c r="N148" t="s">
        <v>644</v>
      </c>
      <c r="O148" t="s">
        <v>645</v>
      </c>
      <c r="P148" t="s">
        <v>24</v>
      </c>
      <c r="Q148" t="s">
        <v>24</v>
      </c>
    </row>
    <row r="149" spans="1:17" x14ac:dyDescent="0.25">
      <c r="A149">
        <v>147</v>
      </c>
      <c r="B149" t="s">
        <v>646</v>
      </c>
      <c r="C149" t="s">
        <v>304</v>
      </c>
      <c r="D149" t="s">
        <v>647</v>
      </c>
      <c r="E149" t="s">
        <v>27</v>
      </c>
      <c r="F149">
        <v>1</v>
      </c>
      <c r="G149">
        <v>0</v>
      </c>
      <c r="H149" t="s">
        <v>304</v>
      </c>
      <c r="I149">
        <v>0</v>
      </c>
      <c r="K149">
        <v>0</v>
      </c>
      <c r="N149" t="s">
        <v>648</v>
      </c>
      <c r="O149" t="s">
        <v>649</v>
      </c>
      <c r="P149" t="s">
        <v>24</v>
      </c>
      <c r="Q149" t="s">
        <v>24</v>
      </c>
    </row>
    <row r="150" spans="1:17" x14ac:dyDescent="0.25">
      <c r="A150">
        <v>148</v>
      </c>
      <c r="B150" t="s">
        <v>650</v>
      </c>
      <c r="D150" t="s">
        <v>651</v>
      </c>
      <c r="E150" t="s">
        <v>27</v>
      </c>
      <c r="F150">
        <v>0</v>
      </c>
      <c r="G150">
        <v>0</v>
      </c>
      <c r="H150" t="s">
        <v>57</v>
      </c>
      <c r="I150">
        <v>1</v>
      </c>
      <c r="K150">
        <v>1</v>
      </c>
      <c r="M150" t="s">
        <v>74</v>
      </c>
      <c r="N150" t="s">
        <v>652</v>
      </c>
      <c r="O150" t="s">
        <v>1177</v>
      </c>
      <c r="P150" t="s">
        <v>24</v>
      </c>
      <c r="Q150" t="s">
        <v>24</v>
      </c>
    </row>
    <row r="151" spans="1:17" x14ac:dyDescent="0.25">
      <c r="A151">
        <v>149</v>
      </c>
      <c r="B151" t="s">
        <v>653</v>
      </c>
      <c r="D151" t="s">
        <v>654</v>
      </c>
      <c r="E151" t="s">
        <v>27</v>
      </c>
      <c r="F151">
        <v>0</v>
      </c>
      <c r="G151">
        <v>0</v>
      </c>
      <c r="H151" t="s">
        <v>57</v>
      </c>
      <c r="I151">
        <v>1</v>
      </c>
      <c r="K151">
        <v>1</v>
      </c>
      <c r="M151" t="s">
        <v>74</v>
      </c>
      <c r="N151" t="s">
        <v>655</v>
      </c>
      <c r="O151" t="s">
        <v>656</v>
      </c>
      <c r="P151" t="s">
        <v>24</v>
      </c>
      <c r="Q151" t="s">
        <v>24</v>
      </c>
    </row>
    <row r="152" spans="1:17" x14ac:dyDescent="0.25">
      <c r="A152">
        <v>150</v>
      </c>
      <c r="B152" t="s">
        <v>657</v>
      </c>
      <c r="D152" t="s">
        <v>658</v>
      </c>
      <c r="E152" t="s">
        <v>20</v>
      </c>
      <c r="F152">
        <v>1</v>
      </c>
      <c r="G152">
        <v>0</v>
      </c>
      <c r="H152" t="s">
        <v>659</v>
      </c>
      <c r="I152">
        <v>1</v>
      </c>
      <c r="K152">
        <v>0</v>
      </c>
      <c r="N152" t="s">
        <v>660</v>
      </c>
      <c r="O152" t="s">
        <v>661</v>
      </c>
      <c r="P152" t="s">
        <v>24</v>
      </c>
      <c r="Q152" t="s">
        <v>24</v>
      </c>
    </row>
    <row r="153" spans="1:17" x14ac:dyDescent="0.25">
      <c r="A153">
        <v>472</v>
      </c>
      <c r="B153" t="s">
        <v>662</v>
      </c>
      <c r="C153" t="s">
        <v>24</v>
      </c>
      <c r="D153" t="s">
        <v>663</v>
      </c>
      <c r="F153">
        <v>1</v>
      </c>
      <c r="G153">
        <v>0</v>
      </c>
      <c r="I153">
        <v>0</v>
      </c>
      <c r="J153" t="s">
        <v>24</v>
      </c>
      <c r="K153">
        <v>0</v>
      </c>
      <c r="L153" t="s">
        <v>24</v>
      </c>
      <c r="M153" t="s">
        <v>24</v>
      </c>
      <c r="O153" t="s">
        <v>1178</v>
      </c>
      <c r="P153" t="s">
        <v>24</v>
      </c>
      <c r="Q153" t="s">
        <v>24</v>
      </c>
    </row>
    <row r="154" spans="1:17" x14ac:dyDescent="0.25">
      <c r="A154">
        <v>151</v>
      </c>
      <c r="B154" t="s">
        <v>664</v>
      </c>
      <c r="D154" t="s">
        <v>665</v>
      </c>
      <c r="E154" t="s">
        <v>39</v>
      </c>
      <c r="F154">
        <v>1</v>
      </c>
      <c r="G154">
        <v>0</v>
      </c>
      <c r="H154" t="s">
        <v>666</v>
      </c>
      <c r="I154">
        <v>1</v>
      </c>
      <c r="K154">
        <v>0</v>
      </c>
      <c r="N154" t="s">
        <v>667</v>
      </c>
      <c r="O154" t="s">
        <v>668</v>
      </c>
      <c r="P154" t="s">
        <v>24</v>
      </c>
      <c r="Q154" t="s">
        <v>24</v>
      </c>
    </row>
    <row r="155" spans="1:17" x14ac:dyDescent="0.25">
      <c r="A155">
        <v>152</v>
      </c>
      <c r="B155" t="s">
        <v>669</v>
      </c>
      <c r="D155" t="s">
        <v>670</v>
      </c>
      <c r="E155" t="s">
        <v>27</v>
      </c>
      <c r="F155">
        <v>1</v>
      </c>
      <c r="G155">
        <v>0</v>
      </c>
      <c r="H155" t="s">
        <v>96</v>
      </c>
      <c r="I155">
        <v>1</v>
      </c>
      <c r="K155">
        <v>0</v>
      </c>
      <c r="N155" t="s">
        <v>671</v>
      </c>
      <c r="O155" t="s">
        <v>672</v>
      </c>
      <c r="P155" t="s">
        <v>24</v>
      </c>
      <c r="Q155" t="s">
        <v>24</v>
      </c>
    </row>
    <row r="156" spans="1:17" x14ac:dyDescent="0.25">
      <c r="A156">
        <v>153</v>
      </c>
      <c r="B156" t="s">
        <v>673</v>
      </c>
      <c r="C156" t="s">
        <v>674</v>
      </c>
      <c r="D156" t="s">
        <v>675</v>
      </c>
      <c r="E156" t="s">
        <v>27</v>
      </c>
      <c r="F156">
        <v>0</v>
      </c>
      <c r="G156">
        <v>0</v>
      </c>
      <c r="H156" t="s">
        <v>96</v>
      </c>
      <c r="I156">
        <v>1</v>
      </c>
      <c r="K156">
        <v>1</v>
      </c>
      <c r="N156" t="s">
        <v>676</v>
      </c>
      <c r="O156" t="s">
        <v>677</v>
      </c>
      <c r="P156" t="s">
        <v>24</v>
      </c>
      <c r="Q156" t="s">
        <v>24</v>
      </c>
    </row>
    <row r="157" spans="1:17" x14ac:dyDescent="0.25">
      <c r="A157">
        <v>154</v>
      </c>
      <c r="B157" t="s">
        <v>678</v>
      </c>
      <c r="D157" t="s">
        <v>679</v>
      </c>
      <c r="E157" t="s">
        <v>27</v>
      </c>
      <c r="F157">
        <v>1</v>
      </c>
      <c r="G157">
        <v>0</v>
      </c>
      <c r="H157" t="s">
        <v>28</v>
      </c>
      <c r="I157">
        <v>1</v>
      </c>
      <c r="K157">
        <v>1</v>
      </c>
      <c r="N157" t="s">
        <v>680</v>
      </c>
      <c r="O157" t="s">
        <v>681</v>
      </c>
      <c r="P157" t="s">
        <v>24</v>
      </c>
      <c r="Q157" t="s">
        <v>24</v>
      </c>
    </row>
    <row r="158" spans="1:17" x14ac:dyDescent="0.25">
      <c r="A158">
        <v>155</v>
      </c>
      <c r="B158" t="s">
        <v>682</v>
      </c>
      <c r="C158" t="s">
        <v>683</v>
      </c>
      <c r="D158" t="s">
        <v>684</v>
      </c>
      <c r="E158" t="s">
        <v>27</v>
      </c>
      <c r="F158">
        <v>0</v>
      </c>
      <c r="G158">
        <v>0</v>
      </c>
      <c r="H158" t="s">
        <v>57</v>
      </c>
      <c r="I158">
        <v>1</v>
      </c>
      <c r="K158">
        <v>1</v>
      </c>
      <c r="N158" t="s">
        <v>685</v>
      </c>
      <c r="O158" t="s">
        <v>1179</v>
      </c>
      <c r="P158" t="s">
        <v>24</v>
      </c>
      <c r="Q158" t="s">
        <v>24</v>
      </c>
    </row>
    <row r="159" spans="1:17" x14ac:dyDescent="0.25">
      <c r="A159">
        <v>156</v>
      </c>
      <c r="B159" t="s">
        <v>686</v>
      </c>
      <c r="D159" t="s">
        <v>687</v>
      </c>
      <c r="E159" t="s">
        <v>27</v>
      </c>
      <c r="F159">
        <v>0</v>
      </c>
      <c r="G159">
        <v>0</v>
      </c>
      <c r="H159" t="s">
        <v>57</v>
      </c>
      <c r="I159">
        <v>1</v>
      </c>
      <c r="K159">
        <v>1</v>
      </c>
      <c r="N159" t="s">
        <v>688</v>
      </c>
      <c r="O159" t="s">
        <v>1180</v>
      </c>
      <c r="P159" t="s">
        <v>24</v>
      </c>
      <c r="Q159" t="s">
        <v>24</v>
      </c>
    </row>
    <row r="160" spans="1:17" x14ac:dyDescent="0.25">
      <c r="A160">
        <v>157</v>
      </c>
      <c r="B160" t="s">
        <v>689</v>
      </c>
      <c r="C160" t="s">
        <v>690</v>
      </c>
      <c r="D160" t="s">
        <v>691</v>
      </c>
      <c r="E160" t="s">
        <v>20</v>
      </c>
      <c r="F160">
        <v>1</v>
      </c>
      <c r="G160">
        <v>0</v>
      </c>
      <c r="H160" t="s">
        <v>689</v>
      </c>
      <c r="I160">
        <v>0</v>
      </c>
      <c r="K160">
        <v>0</v>
      </c>
      <c r="N160" t="s">
        <v>692</v>
      </c>
      <c r="O160" t="s">
        <v>693</v>
      </c>
      <c r="P160" t="s">
        <v>24</v>
      </c>
      <c r="Q160" t="s">
        <v>24</v>
      </c>
    </row>
    <row r="161" spans="1:17" x14ac:dyDescent="0.25">
      <c r="A161">
        <v>158</v>
      </c>
      <c r="B161" t="s">
        <v>694</v>
      </c>
      <c r="D161" t="s">
        <v>695</v>
      </c>
      <c r="E161" t="s">
        <v>27</v>
      </c>
      <c r="F161">
        <v>0</v>
      </c>
      <c r="G161">
        <v>0</v>
      </c>
      <c r="H161" t="s">
        <v>57</v>
      </c>
      <c r="I161">
        <v>1</v>
      </c>
      <c r="K161">
        <v>1</v>
      </c>
      <c r="N161" t="s">
        <v>696</v>
      </c>
      <c r="O161" t="s">
        <v>1181</v>
      </c>
      <c r="P161" t="s">
        <v>24</v>
      </c>
      <c r="Q161" t="s">
        <v>24</v>
      </c>
    </row>
    <row r="162" spans="1:17" x14ac:dyDescent="0.25">
      <c r="A162">
        <v>159</v>
      </c>
      <c r="B162" t="s">
        <v>697</v>
      </c>
      <c r="D162" t="s">
        <v>698</v>
      </c>
      <c r="E162" t="s">
        <v>27</v>
      </c>
      <c r="F162">
        <v>1</v>
      </c>
      <c r="G162">
        <v>0</v>
      </c>
      <c r="H162" t="s">
        <v>96</v>
      </c>
      <c r="I162">
        <v>1</v>
      </c>
      <c r="K162">
        <v>0</v>
      </c>
      <c r="N162" t="s">
        <v>699</v>
      </c>
      <c r="O162" t="s">
        <v>700</v>
      </c>
      <c r="P162" t="s">
        <v>24</v>
      </c>
      <c r="Q162" t="s">
        <v>24</v>
      </c>
    </row>
    <row r="163" spans="1:17" x14ac:dyDescent="0.25">
      <c r="A163">
        <v>160</v>
      </c>
      <c r="B163" t="s">
        <v>701</v>
      </c>
      <c r="D163" t="s">
        <v>702</v>
      </c>
      <c r="E163" t="s">
        <v>27</v>
      </c>
      <c r="F163">
        <v>1</v>
      </c>
      <c r="G163">
        <v>0</v>
      </c>
      <c r="H163" t="s">
        <v>28</v>
      </c>
      <c r="I163">
        <v>1</v>
      </c>
      <c r="K163">
        <v>1</v>
      </c>
      <c r="N163" t="s">
        <v>703</v>
      </c>
      <c r="O163" t="s">
        <v>704</v>
      </c>
      <c r="P163" t="s">
        <v>24</v>
      </c>
      <c r="Q163" t="s">
        <v>24</v>
      </c>
    </row>
    <row r="164" spans="1:17" x14ac:dyDescent="0.25">
      <c r="A164">
        <v>161</v>
      </c>
      <c r="B164" t="s">
        <v>705</v>
      </c>
      <c r="D164" t="s">
        <v>706</v>
      </c>
      <c r="E164" t="s">
        <v>172</v>
      </c>
      <c r="F164">
        <v>1</v>
      </c>
      <c r="G164">
        <v>0</v>
      </c>
      <c r="H164" t="s">
        <v>707</v>
      </c>
      <c r="I164">
        <v>0</v>
      </c>
      <c r="K164">
        <v>0</v>
      </c>
      <c r="N164" t="s">
        <v>708</v>
      </c>
      <c r="O164" t="s">
        <v>709</v>
      </c>
      <c r="P164" t="s">
        <v>24</v>
      </c>
      <c r="Q164" t="s">
        <v>24</v>
      </c>
    </row>
    <row r="165" spans="1:17" x14ac:dyDescent="0.25">
      <c r="A165">
        <v>162</v>
      </c>
      <c r="B165" t="s">
        <v>710</v>
      </c>
      <c r="D165" t="s">
        <v>711</v>
      </c>
      <c r="E165" t="s">
        <v>27</v>
      </c>
      <c r="F165">
        <v>1</v>
      </c>
      <c r="G165">
        <v>0</v>
      </c>
      <c r="H165" t="s">
        <v>712</v>
      </c>
      <c r="I165">
        <v>1</v>
      </c>
      <c r="K165">
        <v>0</v>
      </c>
      <c r="N165" t="s">
        <v>713</v>
      </c>
      <c r="O165" t="s">
        <v>714</v>
      </c>
      <c r="P165" t="s">
        <v>24</v>
      </c>
      <c r="Q165" t="s">
        <v>24</v>
      </c>
    </row>
    <row r="166" spans="1:17" x14ac:dyDescent="0.25">
      <c r="A166">
        <v>163</v>
      </c>
      <c r="B166" t="s">
        <v>715</v>
      </c>
      <c r="C166" t="s">
        <v>716</v>
      </c>
      <c r="D166" t="s">
        <v>717</v>
      </c>
      <c r="E166" t="s">
        <v>27</v>
      </c>
      <c r="F166">
        <v>0</v>
      </c>
      <c r="G166">
        <v>0</v>
      </c>
      <c r="H166" t="s">
        <v>341</v>
      </c>
      <c r="I166">
        <v>0</v>
      </c>
      <c r="K166">
        <v>1</v>
      </c>
      <c r="P166" t="s">
        <v>24</v>
      </c>
      <c r="Q166" t="s">
        <v>24</v>
      </c>
    </row>
    <row r="167" spans="1:17" x14ac:dyDescent="0.25">
      <c r="A167">
        <v>164</v>
      </c>
      <c r="B167" t="s">
        <v>718</v>
      </c>
      <c r="D167" t="s">
        <v>719</v>
      </c>
      <c r="E167" t="s">
        <v>27</v>
      </c>
      <c r="F167">
        <v>1</v>
      </c>
      <c r="G167">
        <v>0</v>
      </c>
      <c r="H167" t="s">
        <v>28</v>
      </c>
      <c r="I167">
        <v>1</v>
      </c>
      <c r="K167">
        <v>1</v>
      </c>
      <c r="N167" t="s">
        <v>720</v>
      </c>
      <c r="O167" t="s">
        <v>721</v>
      </c>
      <c r="P167" t="s">
        <v>24</v>
      </c>
      <c r="Q167" t="s">
        <v>24</v>
      </c>
    </row>
    <row r="168" spans="1:17" x14ac:dyDescent="0.25">
      <c r="A168">
        <v>165</v>
      </c>
      <c r="B168" t="s">
        <v>722</v>
      </c>
      <c r="D168" t="s">
        <v>723</v>
      </c>
      <c r="E168" t="s">
        <v>27</v>
      </c>
      <c r="F168">
        <v>1</v>
      </c>
      <c r="G168">
        <v>1</v>
      </c>
      <c r="H168" t="s">
        <v>28</v>
      </c>
      <c r="I168">
        <v>1</v>
      </c>
      <c r="K168">
        <v>1</v>
      </c>
      <c r="N168" t="s">
        <v>724</v>
      </c>
      <c r="O168" t="s">
        <v>725</v>
      </c>
      <c r="P168" t="s">
        <v>24</v>
      </c>
      <c r="Q168" t="s">
        <v>24</v>
      </c>
    </row>
    <row r="169" spans="1:17" x14ac:dyDescent="0.25">
      <c r="A169">
        <v>166</v>
      </c>
      <c r="B169" t="s">
        <v>726</v>
      </c>
      <c r="D169" t="s">
        <v>727</v>
      </c>
      <c r="E169" t="s">
        <v>27</v>
      </c>
      <c r="F169">
        <v>1</v>
      </c>
      <c r="G169">
        <v>0</v>
      </c>
      <c r="H169" t="s">
        <v>728</v>
      </c>
      <c r="I169">
        <v>0</v>
      </c>
      <c r="K169">
        <v>0</v>
      </c>
      <c r="N169" t="s">
        <v>729</v>
      </c>
      <c r="O169" t="s">
        <v>730</v>
      </c>
      <c r="P169" t="s">
        <v>24</v>
      </c>
      <c r="Q169" t="s">
        <v>24</v>
      </c>
    </row>
    <row r="170" spans="1:17" x14ac:dyDescent="0.25">
      <c r="A170">
        <v>167</v>
      </c>
      <c r="B170" t="s">
        <v>731</v>
      </c>
      <c r="D170" t="s">
        <v>732</v>
      </c>
      <c r="E170" t="s">
        <v>27</v>
      </c>
      <c r="F170">
        <v>1</v>
      </c>
      <c r="G170">
        <v>0</v>
      </c>
      <c r="H170" t="s">
        <v>733</v>
      </c>
      <c r="I170">
        <v>0</v>
      </c>
      <c r="K170">
        <v>1</v>
      </c>
      <c r="N170" t="s">
        <v>734</v>
      </c>
      <c r="O170" t="s">
        <v>735</v>
      </c>
      <c r="P170" t="s">
        <v>24</v>
      </c>
      <c r="Q170" t="s">
        <v>24</v>
      </c>
    </row>
    <row r="171" spans="1:17" x14ac:dyDescent="0.25">
      <c r="A171">
        <v>168</v>
      </c>
      <c r="B171" t="s">
        <v>736</v>
      </c>
      <c r="D171" t="s">
        <v>737</v>
      </c>
      <c r="E171" t="s">
        <v>27</v>
      </c>
      <c r="F171">
        <v>1</v>
      </c>
      <c r="G171">
        <v>0</v>
      </c>
      <c r="H171" t="s">
        <v>28</v>
      </c>
      <c r="I171">
        <v>1</v>
      </c>
      <c r="K171">
        <v>0</v>
      </c>
      <c r="N171" t="s">
        <v>738</v>
      </c>
      <c r="O171" t="s">
        <v>739</v>
      </c>
      <c r="P171" t="s">
        <v>24</v>
      </c>
      <c r="Q171" t="s">
        <v>24</v>
      </c>
    </row>
    <row r="172" spans="1:17" x14ac:dyDescent="0.25">
      <c r="A172">
        <v>169</v>
      </c>
      <c r="B172" t="s">
        <v>740</v>
      </c>
      <c r="D172" t="s">
        <v>741</v>
      </c>
      <c r="E172" t="s">
        <v>27</v>
      </c>
      <c r="F172">
        <v>0</v>
      </c>
      <c r="G172">
        <v>0</v>
      </c>
      <c r="H172" t="s">
        <v>57</v>
      </c>
      <c r="I172">
        <v>1</v>
      </c>
      <c r="K172">
        <v>1</v>
      </c>
      <c r="M172" t="s">
        <v>114</v>
      </c>
      <c r="N172" t="s">
        <v>742</v>
      </c>
      <c r="O172" t="s">
        <v>1182</v>
      </c>
      <c r="P172" t="s">
        <v>24</v>
      </c>
      <c r="Q172" t="s">
        <v>24</v>
      </c>
    </row>
    <row r="173" spans="1:17" x14ac:dyDescent="0.25">
      <c r="A173">
        <v>170</v>
      </c>
      <c r="B173" t="s">
        <v>743</v>
      </c>
      <c r="D173" t="s">
        <v>744</v>
      </c>
      <c r="E173" t="s">
        <v>20</v>
      </c>
      <c r="F173">
        <v>1</v>
      </c>
      <c r="G173">
        <v>0</v>
      </c>
      <c r="H173" t="s">
        <v>745</v>
      </c>
      <c r="I173">
        <v>1</v>
      </c>
      <c r="K173">
        <v>0</v>
      </c>
      <c r="N173" t="s">
        <v>746</v>
      </c>
      <c r="O173" t="s">
        <v>747</v>
      </c>
      <c r="P173" t="s">
        <v>24</v>
      </c>
      <c r="Q173" t="s">
        <v>24</v>
      </c>
    </row>
    <row r="174" spans="1:17" x14ac:dyDescent="0.25">
      <c r="A174">
        <v>171</v>
      </c>
      <c r="B174" t="s">
        <v>748</v>
      </c>
      <c r="D174" t="s">
        <v>749</v>
      </c>
      <c r="E174" t="s">
        <v>192</v>
      </c>
      <c r="F174">
        <v>1</v>
      </c>
      <c r="G174">
        <v>0</v>
      </c>
      <c r="H174" t="s">
        <v>139</v>
      </c>
      <c r="I174">
        <v>1</v>
      </c>
      <c r="K174">
        <v>0</v>
      </c>
      <c r="N174" t="s">
        <v>750</v>
      </c>
      <c r="O174" t="s">
        <v>751</v>
      </c>
      <c r="P174" t="s">
        <v>24</v>
      </c>
      <c r="Q174" t="s">
        <v>24</v>
      </c>
    </row>
    <row r="175" spans="1:17" x14ac:dyDescent="0.25">
      <c r="A175">
        <v>172</v>
      </c>
      <c r="B175" t="s">
        <v>752</v>
      </c>
      <c r="D175" t="s">
        <v>753</v>
      </c>
      <c r="E175" t="s">
        <v>192</v>
      </c>
      <c r="F175">
        <v>1</v>
      </c>
      <c r="G175">
        <v>0</v>
      </c>
      <c r="H175" t="s">
        <v>483</v>
      </c>
      <c r="I175">
        <v>1</v>
      </c>
      <c r="K175">
        <v>0</v>
      </c>
      <c r="N175" t="s">
        <v>754</v>
      </c>
      <c r="O175" t="s">
        <v>755</v>
      </c>
      <c r="P175" t="s">
        <v>24</v>
      </c>
      <c r="Q175" t="s">
        <v>24</v>
      </c>
    </row>
    <row r="176" spans="1:17" x14ac:dyDescent="0.25">
      <c r="A176">
        <v>173</v>
      </c>
      <c r="B176" t="s">
        <v>756</v>
      </c>
      <c r="D176" t="s">
        <v>757</v>
      </c>
      <c r="E176" t="s">
        <v>39</v>
      </c>
      <c r="F176">
        <v>1</v>
      </c>
      <c r="G176">
        <v>0</v>
      </c>
      <c r="H176" t="s">
        <v>758</v>
      </c>
      <c r="I176">
        <v>0</v>
      </c>
      <c r="K176">
        <v>0</v>
      </c>
      <c r="N176" t="s">
        <v>759</v>
      </c>
      <c r="O176" t="s">
        <v>1183</v>
      </c>
      <c r="P176" t="s">
        <v>24</v>
      </c>
      <c r="Q176" t="s">
        <v>24</v>
      </c>
    </row>
    <row r="177" spans="1:17" x14ac:dyDescent="0.25">
      <c r="A177">
        <v>174</v>
      </c>
      <c r="B177" t="s">
        <v>760</v>
      </c>
      <c r="D177" t="s">
        <v>761</v>
      </c>
      <c r="E177" t="s">
        <v>20</v>
      </c>
      <c r="F177">
        <v>1</v>
      </c>
      <c r="G177">
        <v>0</v>
      </c>
      <c r="H177" t="s">
        <v>762</v>
      </c>
      <c r="I177">
        <v>1</v>
      </c>
      <c r="K177">
        <v>1</v>
      </c>
      <c r="N177" t="s">
        <v>763</v>
      </c>
      <c r="O177" t="s">
        <v>764</v>
      </c>
      <c r="P177" t="s">
        <v>24</v>
      </c>
      <c r="Q177" t="s">
        <v>24</v>
      </c>
    </row>
    <row r="178" spans="1:17" x14ac:dyDescent="0.25">
      <c r="A178">
        <v>175</v>
      </c>
      <c r="B178" t="s">
        <v>765</v>
      </c>
      <c r="D178" t="s">
        <v>766</v>
      </c>
      <c r="E178" t="s">
        <v>27</v>
      </c>
      <c r="F178">
        <v>1</v>
      </c>
      <c r="G178">
        <v>0</v>
      </c>
      <c r="H178" t="s">
        <v>43</v>
      </c>
      <c r="I178">
        <v>1</v>
      </c>
      <c r="J178" t="s">
        <v>767</v>
      </c>
      <c r="K178">
        <v>0</v>
      </c>
      <c r="N178" t="s">
        <v>768</v>
      </c>
      <c r="O178" t="s">
        <v>769</v>
      </c>
      <c r="P178" t="s">
        <v>24</v>
      </c>
      <c r="Q178" t="s">
        <v>24</v>
      </c>
    </row>
    <row r="179" spans="1:17" x14ac:dyDescent="0.25">
      <c r="A179">
        <v>473</v>
      </c>
      <c r="B179" t="s">
        <v>770</v>
      </c>
      <c r="C179" t="s">
        <v>24</v>
      </c>
      <c r="D179" t="s">
        <v>771</v>
      </c>
      <c r="F179">
        <v>1</v>
      </c>
      <c r="G179">
        <v>0</v>
      </c>
      <c r="I179">
        <v>0</v>
      </c>
      <c r="J179" t="s">
        <v>24</v>
      </c>
      <c r="K179">
        <v>0</v>
      </c>
      <c r="L179" t="s">
        <v>24</v>
      </c>
      <c r="M179" t="s">
        <v>24</v>
      </c>
      <c r="O179" t="s">
        <v>772</v>
      </c>
      <c r="P179" t="s">
        <v>24</v>
      </c>
      <c r="Q179" t="s">
        <v>24</v>
      </c>
    </row>
    <row r="180" spans="1:17" x14ac:dyDescent="0.25">
      <c r="A180">
        <v>176</v>
      </c>
      <c r="B180" t="s">
        <v>773</v>
      </c>
      <c r="D180" t="s">
        <v>774</v>
      </c>
      <c r="E180" t="s">
        <v>27</v>
      </c>
      <c r="F180">
        <v>1</v>
      </c>
      <c r="G180">
        <v>0</v>
      </c>
      <c r="H180" t="s">
        <v>762</v>
      </c>
      <c r="I180">
        <v>0</v>
      </c>
      <c r="K180">
        <v>1</v>
      </c>
      <c r="N180" t="s">
        <v>775</v>
      </c>
      <c r="O180" t="s">
        <v>776</v>
      </c>
      <c r="P180" t="s">
        <v>24</v>
      </c>
      <c r="Q180" t="s">
        <v>24</v>
      </c>
    </row>
    <row r="181" spans="1:17" x14ac:dyDescent="0.25">
      <c r="A181">
        <v>177</v>
      </c>
      <c r="B181" t="s">
        <v>21</v>
      </c>
      <c r="D181" t="s">
        <v>777</v>
      </c>
      <c r="E181" t="s">
        <v>20</v>
      </c>
      <c r="F181">
        <v>1</v>
      </c>
      <c r="G181">
        <v>0</v>
      </c>
      <c r="H181" t="s">
        <v>21</v>
      </c>
      <c r="I181">
        <v>1</v>
      </c>
      <c r="K181">
        <v>0</v>
      </c>
      <c r="N181" t="s">
        <v>778</v>
      </c>
      <c r="O181" t="s">
        <v>779</v>
      </c>
      <c r="P181" t="s">
        <v>24</v>
      </c>
      <c r="Q181" t="s">
        <v>24</v>
      </c>
    </row>
    <row r="182" spans="1:17" x14ac:dyDescent="0.25">
      <c r="A182">
        <v>178</v>
      </c>
      <c r="B182" t="s">
        <v>780</v>
      </c>
      <c r="C182" t="s">
        <v>781</v>
      </c>
      <c r="D182" t="s">
        <v>782</v>
      </c>
      <c r="E182" t="s">
        <v>20</v>
      </c>
      <c r="F182">
        <v>1</v>
      </c>
      <c r="G182">
        <v>0</v>
      </c>
      <c r="H182" t="s">
        <v>21</v>
      </c>
      <c r="I182">
        <v>1</v>
      </c>
      <c r="K182">
        <v>0</v>
      </c>
      <c r="N182" t="s">
        <v>783</v>
      </c>
      <c r="O182" t="s">
        <v>784</v>
      </c>
      <c r="P182" t="s">
        <v>24</v>
      </c>
      <c r="Q182" t="s">
        <v>24</v>
      </c>
    </row>
    <row r="183" spans="1:17" x14ac:dyDescent="0.25">
      <c r="A183">
        <v>179</v>
      </c>
      <c r="B183" t="s">
        <v>785</v>
      </c>
      <c r="C183" t="s">
        <v>781</v>
      </c>
      <c r="D183" t="s">
        <v>786</v>
      </c>
      <c r="E183" t="s">
        <v>20</v>
      </c>
      <c r="F183">
        <v>1</v>
      </c>
      <c r="G183">
        <v>0</v>
      </c>
      <c r="I183">
        <v>1</v>
      </c>
      <c r="K183">
        <v>0</v>
      </c>
      <c r="N183" t="s">
        <v>787</v>
      </c>
      <c r="O183" t="s">
        <v>788</v>
      </c>
      <c r="P183" t="s">
        <v>24</v>
      </c>
      <c r="Q183" t="s">
        <v>24</v>
      </c>
    </row>
    <row r="184" spans="1:17" x14ac:dyDescent="0.25">
      <c r="A184">
        <v>180</v>
      </c>
      <c r="B184" t="s">
        <v>789</v>
      </c>
      <c r="D184" t="s">
        <v>790</v>
      </c>
      <c r="E184" t="s">
        <v>192</v>
      </c>
      <c r="F184">
        <v>1</v>
      </c>
      <c r="G184">
        <v>0</v>
      </c>
      <c r="H184" t="s">
        <v>791</v>
      </c>
      <c r="I184">
        <v>0</v>
      </c>
      <c r="K184">
        <v>0</v>
      </c>
      <c r="N184" t="s">
        <v>792</v>
      </c>
      <c r="O184" t="s">
        <v>793</v>
      </c>
      <c r="P184" t="s">
        <v>24</v>
      </c>
      <c r="Q184" t="s">
        <v>24</v>
      </c>
    </row>
    <row r="185" spans="1:17" x14ac:dyDescent="0.25">
      <c r="A185">
        <v>181</v>
      </c>
      <c r="B185" t="s">
        <v>794</v>
      </c>
      <c r="D185" t="s">
        <v>795</v>
      </c>
      <c r="E185" t="s">
        <v>27</v>
      </c>
      <c r="F185">
        <v>0</v>
      </c>
      <c r="G185">
        <v>0</v>
      </c>
      <c r="H185" t="s">
        <v>57</v>
      </c>
      <c r="I185">
        <v>1</v>
      </c>
      <c r="K185">
        <v>1</v>
      </c>
      <c r="N185" t="s">
        <v>796</v>
      </c>
      <c r="O185" t="s">
        <v>797</v>
      </c>
      <c r="P185" t="s">
        <v>24</v>
      </c>
      <c r="Q185" t="s">
        <v>24</v>
      </c>
    </row>
    <row r="186" spans="1:17" x14ac:dyDescent="0.25">
      <c r="A186">
        <v>182</v>
      </c>
      <c r="B186" t="s">
        <v>798</v>
      </c>
      <c r="D186" t="s">
        <v>799</v>
      </c>
      <c r="E186" t="s">
        <v>27</v>
      </c>
      <c r="F186">
        <v>0</v>
      </c>
      <c r="G186">
        <v>0</v>
      </c>
      <c r="H186" t="s">
        <v>57</v>
      </c>
      <c r="I186">
        <v>1</v>
      </c>
      <c r="K186">
        <v>1</v>
      </c>
      <c r="N186" t="s">
        <v>800</v>
      </c>
      <c r="O186" t="s">
        <v>801</v>
      </c>
      <c r="P186" t="s">
        <v>24</v>
      </c>
      <c r="Q186" t="s">
        <v>24</v>
      </c>
    </row>
    <row r="187" spans="1:17" x14ac:dyDescent="0.25">
      <c r="A187">
        <v>183</v>
      </c>
      <c r="B187" t="s">
        <v>802</v>
      </c>
      <c r="D187" t="s">
        <v>803</v>
      </c>
      <c r="E187" t="s">
        <v>27</v>
      </c>
      <c r="F187">
        <v>0</v>
      </c>
      <c r="G187">
        <v>0</v>
      </c>
      <c r="H187" t="s">
        <v>57</v>
      </c>
      <c r="I187">
        <v>1</v>
      </c>
      <c r="K187">
        <v>1</v>
      </c>
      <c r="M187" t="s">
        <v>62</v>
      </c>
      <c r="N187" t="s">
        <v>804</v>
      </c>
      <c r="O187" t="s">
        <v>1184</v>
      </c>
      <c r="P187" t="s">
        <v>24</v>
      </c>
      <c r="Q187" t="s">
        <v>24</v>
      </c>
    </row>
    <row r="188" spans="1:17" x14ac:dyDescent="0.25">
      <c r="A188">
        <v>184</v>
      </c>
      <c r="B188" t="s">
        <v>805</v>
      </c>
      <c r="C188" t="s">
        <v>806</v>
      </c>
      <c r="D188" t="s">
        <v>807</v>
      </c>
      <c r="E188" t="s">
        <v>808</v>
      </c>
      <c r="F188">
        <v>1</v>
      </c>
      <c r="G188">
        <v>0</v>
      </c>
      <c r="H188" t="s">
        <v>809</v>
      </c>
      <c r="I188">
        <v>0</v>
      </c>
      <c r="K188">
        <v>0</v>
      </c>
      <c r="N188" t="s">
        <v>810</v>
      </c>
      <c r="O188" t="s">
        <v>811</v>
      </c>
      <c r="P188" t="s">
        <v>24</v>
      </c>
      <c r="Q188" t="s">
        <v>24</v>
      </c>
    </row>
    <row r="189" spans="1:17" x14ac:dyDescent="0.25">
      <c r="A189">
        <v>185</v>
      </c>
      <c r="B189" t="s">
        <v>812</v>
      </c>
      <c r="D189" t="s">
        <v>813</v>
      </c>
      <c r="E189" t="s">
        <v>20</v>
      </c>
      <c r="F189">
        <v>1</v>
      </c>
      <c r="G189">
        <v>0</v>
      </c>
      <c r="H189" t="s">
        <v>814</v>
      </c>
      <c r="I189">
        <v>1</v>
      </c>
      <c r="K189">
        <v>0</v>
      </c>
      <c r="N189" t="s">
        <v>815</v>
      </c>
      <c r="O189" t="s">
        <v>816</v>
      </c>
      <c r="P189" t="s">
        <v>24</v>
      </c>
      <c r="Q189" t="s">
        <v>24</v>
      </c>
    </row>
    <row r="190" spans="1:17" x14ac:dyDescent="0.25">
      <c r="A190">
        <v>186</v>
      </c>
      <c r="B190" t="s">
        <v>817</v>
      </c>
      <c r="D190" t="s">
        <v>818</v>
      </c>
      <c r="E190" t="s">
        <v>39</v>
      </c>
      <c r="F190">
        <v>1</v>
      </c>
      <c r="G190">
        <v>0</v>
      </c>
      <c r="H190" t="s">
        <v>819</v>
      </c>
      <c r="I190">
        <v>0</v>
      </c>
      <c r="K190">
        <v>0</v>
      </c>
      <c r="N190" t="s">
        <v>820</v>
      </c>
      <c r="O190" t="s">
        <v>821</v>
      </c>
      <c r="P190" t="s">
        <v>24</v>
      </c>
      <c r="Q190" t="s">
        <v>24</v>
      </c>
    </row>
    <row r="191" spans="1:17" x14ac:dyDescent="0.25">
      <c r="A191">
        <v>187</v>
      </c>
      <c r="B191" t="s">
        <v>822</v>
      </c>
      <c r="D191" t="s">
        <v>823</v>
      </c>
      <c r="E191" t="s">
        <v>39</v>
      </c>
      <c r="F191">
        <v>0</v>
      </c>
      <c r="G191">
        <v>0</v>
      </c>
      <c r="H191" t="s">
        <v>823</v>
      </c>
      <c r="I191">
        <v>0</v>
      </c>
      <c r="J191" t="s">
        <v>824</v>
      </c>
      <c r="K191">
        <v>0</v>
      </c>
      <c r="N191" t="s">
        <v>825</v>
      </c>
      <c r="O191" t="s">
        <v>826</v>
      </c>
      <c r="P191" t="s">
        <v>24</v>
      </c>
      <c r="Q191" t="s">
        <v>24</v>
      </c>
    </row>
    <row r="192" spans="1:17" x14ac:dyDescent="0.25">
      <c r="A192">
        <v>188</v>
      </c>
      <c r="B192" t="s">
        <v>827</v>
      </c>
      <c r="D192" t="s">
        <v>828</v>
      </c>
      <c r="E192" t="s">
        <v>27</v>
      </c>
      <c r="F192">
        <v>0</v>
      </c>
      <c r="G192">
        <v>0</v>
      </c>
      <c r="H192" t="s">
        <v>57</v>
      </c>
      <c r="I192">
        <v>1</v>
      </c>
      <c r="K192">
        <v>1</v>
      </c>
      <c r="M192" t="s">
        <v>114</v>
      </c>
      <c r="N192" t="s">
        <v>829</v>
      </c>
      <c r="O192" t="s">
        <v>1185</v>
      </c>
      <c r="P192" t="s">
        <v>24</v>
      </c>
      <c r="Q192" t="s">
        <v>24</v>
      </c>
    </row>
    <row r="193" spans="1:17" x14ac:dyDescent="0.25">
      <c r="A193">
        <v>189</v>
      </c>
      <c r="B193" t="s">
        <v>830</v>
      </c>
      <c r="D193" t="s">
        <v>831</v>
      </c>
      <c r="E193" t="s">
        <v>27</v>
      </c>
      <c r="F193">
        <v>1</v>
      </c>
      <c r="G193">
        <v>0</v>
      </c>
      <c r="H193" t="s">
        <v>28</v>
      </c>
      <c r="I193">
        <v>1</v>
      </c>
      <c r="K193">
        <v>0</v>
      </c>
      <c r="N193" t="s">
        <v>832</v>
      </c>
      <c r="O193" t="s">
        <v>833</v>
      </c>
      <c r="P193" t="s">
        <v>24</v>
      </c>
      <c r="Q193" t="s">
        <v>24</v>
      </c>
    </row>
    <row r="194" spans="1:17" x14ac:dyDescent="0.25">
      <c r="A194">
        <v>191</v>
      </c>
      <c r="B194" t="s">
        <v>834</v>
      </c>
      <c r="D194" t="s">
        <v>835</v>
      </c>
      <c r="E194" t="s">
        <v>39</v>
      </c>
      <c r="F194">
        <v>1</v>
      </c>
      <c r="G194">
        <v>0</v>
      </c>
      <c r="H194" t="s">
        <v>834</v>
      </c>
      <c r="I194">
        <v>0</v>
      </c>
      <c r="K194">
        <v>0</v>
      </c>
      <c r="N194" t="s">
        <v>836</v>
      </c>
      <c r="O194" t="s">
        <v>1186</v>
      </c>
      <c r="P194" t="s">
        <v>24</v>
      </c>
      <c r="Q194" t="s">
        <v>24</v>
      </c>
    </row>
    <row r="195" spans="1:17" x14ac:dyDescent="0.25">
      <c r="A195">
        <v>192</v>
      </c>
      <c r="B195" t="s">
        <v>837</v>
      </c>
      <c r="D195" t="s">
        <v>838</v>
      </c>
      <c r="E195" t="s">
        <v>39</v>
      </c>
      <c r="F195">
        <v>1</v>
      </c>
      <c r="G195">
        <v>0</v>
      </c>
      <c r="H195" t="s">
        <v>839</v>
      </c>
      <c r="I195">
        <v>0</v>
      </c>
      <c r="J195" t="s">
        <v>840</v>
      </c>
      <c r="K195">
        <v>0</v>
      </c>
      <c r="N195" t="s">
        <v>841</v>
      </c>
      <c r="O195" t="s">
        <v>842</v>
      </c>
      <c r="P195" t="s">
        <v>24</v>
      </c>
      <c r="Q195" t="s">
        <v>24</v>
      </c>
    </row>
    <row r="196" spans="1:17" x14ac:dyDescent="0.25">
      <c r="A196">
        <v>193</v>
      </c>
      <c r="B196" t="s">
        <v>843</v>
      </c>
      <c r="D196" t="s">
        <v>844</v>
      </c>
      <c r="E196" t="s">
        <v>27</v>
      </c>
      <c r="F196">
        <v>0</v>
      </c>
      <c r="G196">
        <v>0</v>
      </c>
      <c r="H196" t="s">
        <v>57</v>
      </c>
      <c r="I196">
        <v>1</v>
      </c>
      <c r="K196">
        <v>1</v>
      </c>
      <c r="M196" t="s">
        <v>144</v>
      </c>
      <c r="N196" t="s">
        <v>845</v>
      </c>
      <c r="O196" t="s">
        <v>846</v>
      </c>
      <c r="P196" t="s">
        <v>24</v>
      </c>
      <c r="Q196" t="s">
        <v>24</v>
      </c>
    </row>
    <row r="197" spans="1:17" x14ac:dyDescent="0.25">
      <c r="A197">
        <v>194</v>
      </c>
      <c r="B197" t="s">
        <v>847</v>
      </c>
      <c r="D197" t="s">
        <v>848</v>
      </c>
      <c r="E197" t="s">
        <v>27</v>
      </c>
      <c r="F197">
        <v>0</v>
      </c>
      <c r="G197">
        <v>0</v>
      </c>
      <c r="H197" t="s">
        <v>57</v>
      </c>
      <c r="I197">
        <v>1</v>
      </c>
      <c r="K197">
        <v>1</v>
      </c>
      <c r="N197" t="s">
        <v>849</v>
      </c>
      <c r="O197" t="s">
        <v>1187</v>
      </c>
      <c r="P197" t="s">
        <v>24</v>
      </c>
      <c r="Q197" t="s">
        <v>24</v>
      </c>
    </row>
    <row r="198" spans="1:17" x14ac:dyDescent="0.25">
      <c r="A198">
        <v>195</v>
      </c>
      <c r="B198" t="s">
        <v>850</v>
      </c>
      <c r="C198" t="s">
        <v>851</v>
      </c>
      <c r="D198" t="s">
        <v>852</v>
      </c>
      <c r="E198" t="s">
        <v>27</v>
      </c>
      <c r="F198">
        <v>1</v>
      </c>
      <c r="G198">
        <v>0</v>
      </c>
      <c r="H198" t="s">
        <v>853</v>
      </c>
      <c r="I198">
        <v>0</v>
      </c>
      <c r="K198">
        <v>0</v>
      </c>
      <c r="N198" t="s">
        <v>854</v>
      </c>
      <c r="O198" t="s">
        <v>855</v>
      </c>
      <c r="P198" t="s">
        <v>24</v>
      </c>
      <c r="Q198" t="s">
        <v>24</v>
      </c>
    </row>
    <row r="199" spans="1:17" x14ac:dyDescent="0.25">
      <c r="A199">
        <v>196</v>
      </c>
      <c r="B199" t="s">
        <v>856</v>
      </c>
      <c r="D199" t="s">
        <v>857</v>
      </c>
      <c r="E199" t="s">
        <v>192</v>
      </c>
      <c r="F199">
        <v>1</v>
      </c>
      <c r="G199">
        <v>0</v>
      </c>
      <c r="H199" t="s">
        <v>341</v>
      </c>
      <c r="I199">
        <v>1</v>
      </c>
      <c r="K199">
        <v>0</v>
      </c>
      <c r="N199" t="s">
        <v>858</v>
      </c>
      <c r="O199" t="s">
        <v>859</v>
      </c>
      <c r="P199" t="s">
        <v>24</v>
      </c>
      <c r="Q199" t="s">
        <v>24</v>
      </c>
    </row>
    <row r="200" spans="1:17" x14ac:dyDescent="0.25">
      <c r="A200">
        <v>197</v>
      </c>
      <c r="B200" t="s">
        <v>860</v>
      </c>
      <c r="D200" t="s">
        <v>861</v>
      </c>
      <c r="E200" t="s">
        <v>172</v>
      </c>
      <c r="F200">
        <v>1</v>
      </c>
      <c r="G200">
        <v>0</v>
      </c>
      <c r="H200" t="s">
        <v>862</v>
      </c>
      <c r="I200">
        <v>0</v>
      </c>
      <c r="K200">
        <v>0</v>
      </c>
      <c r="N200" t="s">
        <v>863</v>
      </c>
      <c r="O200" t="s">
        <v>864</v>
      </c>
      <c r="P200" t="s">
        <v>24</v>
      </c>
      <c r="Q200" t="s">
        <v>24</v>
      </c>
    </row>
    <row r="201" spans="1:17" x14ac:dyDescent="0.25">
      <c r="A201">
        <v>198</v>
      </c>
      <c r="B201" t="s">
        <v>865</v>
      </c>
      <c r="D201" t="s">
        <v>866</v>
      </c>
      <c r="E201" t="s">
        <v>39</v>
      </c>
      <c r="F201">
        <v>1</v>
      </c>
      <c r="G201">
        <v>0</v>
      </c>
      <c r="H201" t="s">
        <v>822</v>
      </c>
      <c r="I201">
        <v>0</v>
      </c>
      <c r="J201" t="s">
        <v>824</v>
      </c>
      <c r="K201">
        <v>0</v>
      </c>
      <c r="N201" t="s">
        <v>867</v>
      </c>
      <c r="O201" t="s">
        <v>868</v>
      </c>
      <c r="P201" t="s">
        <v>24</v>
      </c>
      <c r="Q201" t="s">
        <v>24</v>
      </c>
    </row>
    <row r="202" spans="1:17" x14ac:dyDescent="0.25">
      <c r="A202">
        <v>199</v>
      </c>
      <c r="B202" t="s">
        <v>869</v>
      </c>
      <c r="C202" t="s">
        <v>870</v>
      </c>
      <c r="D202" t="s">
        <v>871</v>
      </c>
      <c r="E202" t="s">
        <v>400</v>
      </c>
      <c r="F202">
        <v>1</v>
      </c>
      <c r="G202">
        <v>0</v>
      </c>
      <c r="H202" t="s">
        <v>872</v>
      </c>
      <c r="I202">
        <v>0</v>
      </c>
      <c r="K202">
        <v>0</v>
      </c>
      <c r="N202" t="s">
        <v>873</v>
      </c>
      <c r="O202" t="s">
        <v>874</v>
      </c>
      <c r="P202" t="s">
        <v>24</v>
      </c>
      <c r="Q202" t="s">
        <v>24</v>
      </c>
    </row>
    <row r="203" spans="1:17" x14ac:dyDescent="0.25">
      <c r="A203">
        <v>200</v>
      </c>
      <c r="B203" t="s">
        <v>875</v>
      </c>
      <c r="D203" t="s">
        <v>876</v>
      </c>
      <c r="E203" t="s">
        <v>27</v>
      </c>
      <c r="F203">
        <v>0</v>
      </c>
      <c r="G203">
        <v>0</v>
      </c>
      <c r="H203" t="s">
        <v>57</v>
      </c>
      <c r="I203">
        <v>1</v>
      </c>
      <c r="K203">
        <v>1</v>
      </c>
      <c r="M203" t="s">
        <v>74</v>
      </c>
      <c r="N203" t="s">
        <v>877</v>
      </c>
      <c r="O203" t="s">
        <v>1188</v>
      </c>
      <c r="P203" t="s">
        <v>24</v>
      </c>
      <c r="Q203" t="s">
        <v>24</v>
      </c>
    </row>
    <row r="204" spans="1:17" x14ac:dyDescent="0.25">
      <c r="A204">
        <v>201</v>
      </c>
      <c r="B204" t="s">
        <v>878</v>
      </c>
      <c r="D204" t="s">
        <v>879</v>
      </c>
      <c r="E204" t="s">
        <v>192</v>
      </c>
      <c r="F204">
        <v>1</v>
      </c>
      <c r="G204">
        <v>0</v>
      </c>
      <c r="H204" t="s">
        <v>254</v>
      </c>
      <c r="I204">
        <v>0</v>
      </c>
      <c r="K204">
        <v>0</v>
      </c>
      <c r="N204" t="s">
        <v>880</v>
      </c>
      <c r="O204" t="s">
        <v>881</v>
      </c>
      <c r="P204" t="s">
        <v>24</v>
      </c>
      <c r="Q204" t="s">
        <v>24</v>
      </c>
    </row>
    <row r="205" spans="1:17" x14ac:dyDescent="0.25">
      <c r="A205">
        <v>202</v>
      </c>
      <c r="B205" t="s">
        <v>882</v>
      </c>
      <c r="D205" t="s">
        <v>883</v>
      </c>
      <c r="E205" t="s">
        <v>20</v>
      </c>
      <c r="F205">
        <v>1</v>
      </c>
      <c r="G205">
        <v>0</v>
      </c>
      <c r="H205" t="s">
        <v>884</v>
      </c>
      <c r="I205">
        <v>0</v>
      </c>
      <c r="J205" t="s">
        <v>885</v>
      </c>
      <c r="K205">
        <v>0</v>
      </c>
      <c r="N205" t="s">
        <v>886</v>
      </c>
      <c r="O205" t="s">
        <v>887</v>
      </c>
      <c r="P205" t="s">
        <v>24</v>
      </c>
      <c r="Q205" t="s">
        <v>24</v>
      </c>
    </row>
    <row r="206" spans="1:17" x14ac:dyDescent="0.25">
      <c r="A206">
        <v>203</v>
      </c>
      <c r="B206" t="s">
        <v>888</v>
      </c>
      <c r="D206" t="s">
        <v>889</v>
      </c>
      <c r="E206" t="s">
        <v>27</v>
      </c>
      <c r="F206">
        <v>0</v>
      </c>
      <c r="G206">
        <v>0</v>
      </c>
      <c r="H206" t="s">
        <v>57</v>
      </c>
      <c r="I206">
        <v>1</v>
      </c>
      <c r="K206">
        <v>1</v>
      </c>
      <c r="M206" t="s">
        <v>114</v>
      </c>
      <c r="N206" t="s">
        <v>890</v>
      </c>
      <c r="O206" t="s">
        <v>1189</v>
      </c>
      <c r="P206" t="s">
        <v>24</v>
      </c>
      <c r="Q206" t="s">
        <v>24</v>
      </c>
    </row>
    <row r="207" spans="1:17" x14ac:dyDescent="0.25">
      <c r="A207">
        <v>204</v>
      </c>
      <c r="B207" t="s">
        <v>891</v>
      </c>
      <c r="D207" t="s">
        <v>892</v>
      </c>
      <c r="E207" t="s">
        <v>27</v>
      </c>
      <c r="F207">
        <v>1</v>
      </c>
      <c r="G207">
        <v>1</v>
      </c>
      <c r="H207" t="s">
        <v>893</v>
      </c>
      <c r="I207">
        <v>1</v>
      </c>
      <c r="J207" t="s">
        <v>894</v>
      </c>
      <c r="K207">
        <v>1</v>
      </c>
      <c r="N207" t="s">
        <v>895</v>
      </c>
      <c r="O207" t="s">
        <v>896</v>
      </c>
      <c r="P207" t="s">
        <v>24</v>
      </c>
      <c r="Q207" t="s">
        <v>24</v>
      </c>
    </row>
    <row r="208" spans="1:17" x14ac:dyDescent="0.25">
      <c r="A208">
        <v>205</v>
      </c>
      <c r="B208" t="s">
        <v>897</v>
      </c>
      <c r="D208" t="s">
        <v>898</v>
      </c>
      <c r="E208" t="s">
        <v>27</v>
      </c>
      <c r="F208">
        <v>0</v>
      </c>
      <c r="G208">
        <v>0</v>
      </c>
      <c r="H208" t="s">
        <v>57</v>
      </c>
      <c r="I208">
        <v>1</v>
      </c>
      <c r="K208">
        <v>1</v>
      </c>
      <c r="M208" t="s">
        <v>78</v>
      </c>
      <c r="N208" t="s">
        <v>899</v>
      </c>
      <c r="O208" t="s">
        <v>1190</v>
      </c>
      <c r="P208" t="s">
        <v>24</v>
      </c>
      <c r="Q208" t="s">
        <v>24</v>
      </c>
    </row>
    <row r="209" spans="1:17" x14ac:dyDescent="0.25">
      <c r="A209">
        <v>206</v>
      </c>
      <c r="B209" t="s">
        <v>900</v>
      </c>
      <c r="D209" t="s">
        <v>901</v>
      </c>
      <c r="E209" t="s">
        <v>20</v>
      </c>
      <c r="F209">
        <v>1</v>
      </c>
      <c r="G209">
        <v>0</v>
      </c>
      <c r="H209" t="s">
        <v>902</v>
      </c>
      <c r="I209">
        <v>1</v>
      </c>
      <c r="K209">
        <v>0</v>
      </c>
      <c r="N209" t="s">
        <v>903</v>
      </c>
      <c r="O209" t="s">
        <v>904</v>
      </c>
      <c r="P209" t="s">
        <v>24</v>
      </c>
      <c r="Q209" t="s">
        <v>24</v>
      </c>
    </row>
    <row r="210" spans="1:17" x14ac:dyDescent="0.25">
      <c r="A210">
        <v>207</v>
      </c>
      <c r="B210" t="s">
        <v>905</v>
      </c>
      <c r="D210" t="s">
        <v>906</v>
      </c>
      <c r="E210" t="s">
        <v>27</v>
      </c>
      <c r="F210">
        <v>0</v>
      </c>
      <c r="G210">
        <v>0</v>
      </c>
      <c r="H210" t="s">
        <v>96</v>
      </c>
      <c r="I210">
        <v>1</v>
      </c>
      <c r="K210">
        <v>1</v>
      </c>
      <c r="N210" t="s">
        <v>907</v>
      </c>
      <c r="O210" t="s">
        <v>908</v>
      </c>
      <c r="P210" t="s">
        <v>24</v>
      </c>
      <c r="Q210" t="s">
        <v>24</v>
      </c>
    </row>
    <row r="211" spans="1:17" x14ac:dyDescent="0.25">
      <c r="A211">
        <v>208</v>
      </c>
      <c r="B211" t="s">
        <v>909</v>
      </c>
      <c r="D211" t="s">
        <v>910</v>
      </c>
      <c r="E211" t="s">
        <v>39</v>
      </c>
      <c r="F211">
        <v>1</v>
      </c>
      <c r="G211">
        <v>0</v>
      </c>
      <c r="H211" t="s">
        <v>96</v>
      </c>
      <c r="I211">
        <v>1</v>
      </c>
      <c r="K211">
        <v>0</v>
      </c>
      <c r="N211" t="s">
        <v>911</v>
      </c>
      <c r="O211" t="s">
        <v>912</v>
      </c>
      <c r="P211" t="s">
        <v>24</v>
      </c>
      <c r="Q211" t="s">
        <v>24</v>
      </c>
    </row>
    <row r="212" spans="1:17" x14ac:dyDescent="0.25">
      <c r="A212">
        <v>209</v>
      </c>
      <c r="B212" t="s">
        <v>913</v>
      </c>
      <c r="D212" t="s">
        <v>914</v>
      </c>
      <c r="E212" t="s">
        <v>27</v>
      </c>
      <c r="F212">
        <v>1</v>
      </c>
      <c r="G212">
        <v>1</v>
      </c>
      <c r="H212" t="s">
        <v>96</v>
      </c>
      <c r="I212">
        <v>1</v>
      </c>
      <c r="K212">
        <v>1</v>
      </c>
      <c r="N212" t="s">
        <v>915</v>
      </c>
      <c r="O212" t="s">
        <v>916</v>
      </c>
      <c r="P212" t="s">
        <v>24</v>
      </c>
      <c r="Q212" t="s">
        <v>24</v>
      </c>
    </row>
    <row r="213" spans="1:17" x14ac:dyDescent="0.25">
      <c r="A213">
        <v>418</v>
      </c>
      <c r="B213" t="s">
        <v>917</v>
      </c>
      <c r="C213" t="s">
        <v>24</v>
      </c>
      <c r="D213" t="s">
        <v>918</v>
      </c>
      <c r="E213" t="s">
        <v>39</v>
      </c>
      <c r="F213">
        <v>1</v>
      </c>
      <c r="G213">
        <v>0</v>
      </c>
      <c r="H213" t="s">
        <v>919</v>
      </c>
      <c r="I213">
        <v>0</v>
      </c>
      <c r="J213" t="s">
        <v>24</v>
      </c>
      <c r="K213">
        <v>0</v>
      </c>
      <c r="L213" t="s">
        <v>24</v>
      </c>
      <c r="M213" t="s">
        <v>24</v>
      </c>
      <c r="N213" t="s">
        <v>920</v>
      </c>
      <c r="O213" t="s">
        <v>921</v>
      </c>
      <c r="P213" t="s">
        <v>24</v>
      </c>
      <c r="Q213" t="s">
        <v>24</v>
      </c>
    </row>
    <row r="214" spans="1:17" x14ac:dyDescent="0.25">
      <c r="A214">
        <v>419</v>
      </c>
      <c r="B214" t="s">
        <v>922</v>
      </c>
      <c r="C214" t="s">
        <v>24</v>
      </c>
      <c r="D214" t="s">
        <v>923</v>
      </c>
      <c r="E214" t="s">
        <v>39</v>
      </c>
      <c r="F214">
        <v>1</v>
      </c>
      <c r="G214">
        <v>0</v>
      </c>
      <c r="H214" t="s">
        <v>254</v>
      </c>
      <c r="I214">
        <v>0</v>
      </c>
      <c r="J214" t="s">
        <v>24</v>
      </c>
      <c r="K214">
        <v>0</v>
      </c>
      <c r="L214" t="s">
        <v>24</v>
      </c>
      <c r="M214" t="s">
        <v>24</v>
      </c>
      <c r="N214" t="s">
        <v>924</v>
      </c>
      <c r="O214" t="s">
        <v>925</v>
      </c>
      <c r="P214" t="s">
        <v>24</v>
      </c>
      <c r="Q214" t="s">
        <v>24</v>
      </c>
    </row>
    <row r="215" spans="1:17" x14ac:dyDescent="0.25">
      <c r="A215">
        <v>420</v>
      </c>
      <c r="B215" t="s">
        <v>926</v>
      </c>
      <c r="C215" t="s">
        <v>24</v>
      </c>
      <c r="D215" t="s">
        <v>927</v>
      </c>
      <c r="E215" t="s">
        <v>192</v>
      </c>
      <c r="F215">
        <v>1</v>
      </c>
      <c r="G215">
        <v>0</v>
      </c>
      <c r="H215" t="s">
        <v>254</v>
      </c>
      <c r="I215">
        <v>0</v>
      </c>
      <c r="J215" t="s">
        <v>24</v>
      </c>
      <c r="K215">
        <v>0</v>
      </c>
      <c r="L215" t="s">
        <v>24</v>
      </c>
      <c r="M215" t="s">
        <v>24</v>
      </c>
      <c r="N215" t="s">
        <v>928</v>
      </c>
      <c r="O215" t="s">
        <v>929</v>
      </c>
      <c r="P215" t="s">
        <v>24</v>
      </c>
      <c r="Q215" t="s">
        <v>24</v>
      </c>
    </row>
    <row r="216" spans="1:17" x14ac:dyDescent="0.25">
      <c r="A216">
        <v>421</v>
      </c>
      <c r="B216" t="s">
        <v>930</v>
      </c>
      <c r="C216" t="s">
        <v>477</v>
      </c>
      <c r="D216" t="s">
        <v>931</v>
      </c>
      <c r="E216" t="s">
        <v>39</v>
      </c>
      <c r="F216">
        <v>1</v>
      </c>
      <c r="G216">
        <v>0</v>
      </c>
      <c r="H216" t="s">
        <v>477</v>
      </c>
      <c r="I216">
        <v>1</v>
      </c>
      <c r="J216" t="s">
        <v>24</v>
      </c>
      <c r="K216">
        <v>0</v>
      </c>
      <c r="L216" t="s">
        <v>24</v>
      </c>
      <c r="M216" t="s">
        <v>24</v>
      </c>
      <c r="N216" t="s">
        <v>932</v>
      </c>
      <c r="O216" t="s">
        <v>933</v>
      </c>
      <c r="P216" t="s">
        <v>24</v>
      </c>
      <c r="Q216" t="s">
        <v>24</v>
      </c>
    </row>
    <row r="217" spans="1:17" x14ac:dyDescent="0.25">
      <c r="A217">
        <v>423</v>
      </c>
      <c r="B217" t="s">
        <v>934</v>
      </c>
      <c r="C217" t="s">
        <v>24</v>
      </c>
      <c r="D217" t="s">
        <v>935</v>
      </c>
      <c r="E217" t="s">
        <v>39</v>
      </c>
      <c r="F217">
        <v>1</v>
      </c>
      <c r="G217">
        <v>0</v>
      </c>
      <c r="H217" t="s">
        <v>254</v>
      </c>
      <c r="I217">
        <v>0</v>
      </c>
      <c r="J217" t="s">
        <v>24</v>
      </c>
      <c r="K217">
        <v>0</v>
      </c>
      <c r="L217" t="s">
        <v>24</v>
      </c>
      <c r="M217" t="s">
        <v>24</v>
      </c>
      <c r="N217" t="s">
        <v>936</v>
      </c>
      <c r="O217" t="s">
        <v>937</v>
      </c>
      <c r="P217" t="s">
        <v>24</v>
      </c>
      <c r="Q217" t="s">
        <v>24</v>
      </c>
    </row>
    <row r="218" spans="1:17" x14ac:dyDescent="0.25">
      <c r="A218">
        <v>424</v>
      </c>
      <c r="B218" t="s">
        <v>938</v>
      </c>
      <c r="C218" t="s">
        <v>24</v>
      </c>
      <c r="D218" t="s">
        <v>939</v>
      </c>
      <c r="E218" t="s">
        <v>39</v>
      </c>
      <c r="F218">
        <v>0</v>
      </c>
      <c r="G218">
        <v>0</v>
      </c>
      <c r="H218" t="s">
        <v>940</v>
      </c>
      <c r="I218">
        <v>1</v>
      </c>
      <c r="J218" t="s">
        <v>24</v>
      </c>
      <c r="K218">
        <v>0</v>
      </c>
      <c r="L218" t="s">
        <v>24</v>
      </c>
      <c r="M218" t="s">
        <v>24</v>
      </c>
      <c r="N218" t="s">
        <v>941</v>
      </c>
      <c r="O218" t="s">
        <v>942</v>
      </c>
      <c r="P218" t="s">
        <v>24</v>
      </c>
      <c r="Q218" t="s">
        <v>24</v>
      </c>
    </row>
    <row r="219" spans="1:17" x14ac:dyDescent="0.25">
      <c r="A219">
        <v>425</v>
      </c>
      <c r="B219" t="s">
        <v>943</v>
      </c>
      <c r="C219" t="s">
        <v>24</v>
      </c>
      <c r="D219" t="s">
        <v>944</v>
      </c>
      <c r="E219" t="s">
        <v>39</v>
      </c>
      <c r="F219">
        <v>0</v>
      </c>
      <c r="G219">
        <v>0</v>
      </c>
      <c r="H219" t="s">
        <v>945</v>
      </c>
      <c r="I219">
        <v>1</v>
      </c>
      <c r="J219" t="s">
        <v>24</v>
      </c>
      <c r="K219">
        <v>0</v>
      </c>
      <c r="L219" t="s">
        <v>24</v>
      </c>
      <c r="M219" t="s">
        <v>24</v>
      </c>
      <c r="N219" t="s">
        <v>946</v>
      </c>
      <c r="O219" t="s">
        <v>947</v>
      </c>
      <c r="P219" t="s">
        <v>24</v>
      </c>
      <c r="Q219" t="s">
        <v>24</v>
      </c>
    </row>
    <row r="220" spans="1:17" x14ac:dyDescent="0.25">
      <c r="A220">
        <v>426</v>
      </c>
      <c r="B220" t="s">
        <v>948</v>
      </c>
      <c r="C220" t="s">
        <v>24</v>
      </c>
      <c r="D220" t="s">
        <v>949</v>
      </c>
      <c r="E220" t="s">
        <v>27</v>
      </c>
      <c r="F220">
        <v>1</v>
      </c>
      <c r="G220">
        <v>0</v>
      </c>
      <c r="H220" t="s">
        <v>28</v>
      </c>
      <c r="I220">
        <v>1</v>
      </c>
      <c r="J220" t="s">
        <v>24</v>
      </c>
      <c r="K220">
        <v>1</v>
      </c>
      <c r="L220" t="s">
        <v>24</v>
      </c>
      <c r="M220" t="s">
        <v>24</v>
      </c>
      <c r="N220" t="s">
        <v>950</v>
      </c>
      <c r="O220" t="s">
        <v>951</v>
      </c>
      <c r="P220" t="s">
        <v>24</v>
      </c>
      <c r="Q220" t="s">
        <v>24</v>
      </c>
    </row>
    <row r="221" spans="1:17" x14ac:dyDescent="0.25">
      <c r="A221">
        <v>427</v>
      </c>
      <c r="B221" t="s">
        <v>952</v>
      </c>
      <c r="C221" t="s">
        <v>953</v>
      </c>
      <c r="D221" t="s">
        <v>954</v>
      </c>
      <c r="E221" t="s">
        <v>27</v>
      </c>
      <c r="F221">
        <v>1</v>
      </c>
      <c r="G221">
        <v>0</v>
      </c>
      <c r="H221" t="s">
        <v>28</v>
      </c>
      <c r="I221">
        <v>1</v>
      </c>
      <c r="J221" t="s">
        <v>24</v>
      </c>
      <c r="K221">
        <v>1</v>
      </c>
      <c r="L221" t="s">
        <v>24</v>
      </c>
      <c r="M221" t="s">
        <v>24</v>
      </c>
      <c r="N221" t="s">
        <v>955</v>
      </c>
      <c r="O221" t="s">
        <v>956</v>
      </c>
      <c r="P221" t="s">
        <v>24</v>
      </c>
      <c r="Q221" t="s">
        <v>24</v>
      </c>
    </row>
    <row r="222" spans="1:17" x14ac:dyDescent="0.25">
      <c r="A222">
        <v>459</v>
      </c>
      <c r="B222" t="s">
        <v>957</v>
      </c>
      <c r="C222" t="s">
        <v>24</v>
      </c>
      <c r="D222" t="s">
        <v>958</v>
      </c>
      <c r="E222" t="s">
        <v>27</v>
      </c>
      <c r="F222">
        <v>0</v>
      </c>
      <c r="G222">
        <v>0</v>
      </c>
      <c r="H222" t="s">
        <v>139</v>
      </c>
      <c r="I222">
        <v>1</v>
      </c>
      <c r="J222" t="s">
        <v>24</v>
      </c>
      <c r="K222">
        <v>0</v>
      </c>
      <c r="L222" t="s">
        <v>24</v>
      </c>
      <c r="M222" t="s">
        <v>24</v>
      </c>
      <c r="N222" t="s">
        <v>959</v>
      </c>
      <c r="O222" t="s">
        <v>960</v>
      </c>
      <c r="P222" t="s">
        <v>24</v>
      </c>
      <c r="Q222" t="s">
        <v>24</v>
      </c>
    </row>
    <row r="223" spans="1:17" x14ac:dyDescent="0.25">
      <c r="A223">
        <v>438</v>
      </c>
      <c r="B223" t="s">
        <v>961</v>
      </c>
      <c r="C223" t="s">
        <v>962</v>
      </c>
      <c r="D223" t="s">
        <v>963</v>
      </c>
      <c r="E223" t="s">
        <v>192</v>
      </c>
      <c r="F223">
        <v>1</v>
      </c>
      <c r="G223">
        <v>0</v>
      </c>
      <c r="H223" t="s">
        <v>964</v>
      </c>
      <c r="I223">
        <v>1</v>
      </c>
      <c r="J223" t="s">
        <v>24</v>
      </c>
      <c r="K223">
        <v>0</v>
      </c>
      <c r="L223" t="s">
        <v>24</v>
      </c>
      <c r="M223" t="s">
        <v>24</v>
      </c>
      <c r="N223" t="s">
        <v>965</v>
      </c>
      <c r="O223" t="s">
        <v>966</v>
      </c>
      <c r="P223" t="s">
        <v>24</v>
      </c>
      <c r="Q223" t="s">
        <v>24</v>
      </c>
    </row>
    <row r="224" spans="1:17" x14ac:dyDescent="0.25">
      <c r="A224">
        <v>428</v>
      </c>
      <c r="B224" t="s">
        <v>967</v>
      </c>
      <c r="C224" t="s">
        <v>24</v>
      </c>
      <c r="D224" t="s">
        <v>968</v>
      </c>
      <c r="E224" t="s">
        <v>39</v>
      </c>
      <c r="F224">
        <v>1</v>
      </c>
      <c r="G224">
        <v>0</v>
      </c>
      <c r="H224" t="s">
        <v>969</v>
      </c>
      <c r="I224">
        <v>0</v>
      </c>
      <c r="J224" t="s">
        <v>24</v>
      </c>
      <c r="K224">
        <v>0</v>
      </c>
      <c r="L224" t="s">
        <v>24</v>
      </c>
      <c r="M224" t="s">
        <v>24</v>
      </c>
      <c r="N224" t="s">
        <v>970</v>
      </c>
      <c r="O224" t="s">
        <v>1191</v>
      </c>
      <c r="P224" t="s">
        <v>24</v>
      </c>
      <c r="Q224" t="s">
        <v>24</v>
      </c>
    </row>
    <row r="225" spans="1:17" x14ac:dyDescent="0.25">
      <c r="A225">
        <v>429</v>
      </c>
      <c r="B225" t="s">
        <v>971</v>
      </c>
      <c r="C225" t="s">
        <v>24</v>
      </c>
      <c r="D225" t="s">
        <v>972</v>
      </c>
      <c r="E225" t="s">
        <v>39</v>
      </c>
      <c r="F225">
        <v>1</v>
      </c>
      <c r="G225">
        <v>0</v>
      </c>
      <c r="H225" t="s">
        <v>973</v>
      </c>
      <c r="I225">
        <v>0</v>
      </c>
      <c r="J225" t="s">
        <v>24</v>
      </c>
      <c r="K225">
        <v>0</v>
      </c>
      <c r="L225" t="s">
        <v>24</v>
      </c>
      <c r="M225" t="s">
        <v>24</v>
      </c>
      <c r="N225" t="s">
        <v>974</v>
      </c>
      <c r="O225" t="s">
        <v>975</v>
      </c>
      <c r="P225" t="s">
        <v>24</v>
      </c>
      <c r="Q225" t="s">
        <v>24</v>
      </c>
    </row>
    <row r="226" spans="1:17" x14ac:dyDescent="0.25">
      <c r="A226">
        <v>430</v>
      </c>
      <c r="B226" t="s">
        <v>976</v>
      </c>
      <c r="C226" t="s">
        <v>24</v>
      </c>
      <c r="D226" t="s">
        <v>977</v>
      </c>
      <c r="E226" t="s">
        <v>39</v>
      </c>
      <c r="F226">
        <v>1</v>
      </c>
      <c r="G226">
        <v>0</v>
      </c>
      <c r="H226" t="s">
        <v>188</v>
      </c>
      <c r="I226">
        <v>1</v>
      </c>
      <c r="J226" t="s">
        <v>24</v>
      </c>
      <c r="K226">
        <v>0</v>
      </c>
      <c r="L226" t="s">
        <v>24</v>
      </c>
      <c r="M226" t="s">
        <v>24</v>
      </c>
      <c r="N226" t="s">
        <v>978</v>
      </c>
      <c r="O226" t="s">
        <v>979</v>
      </c>
      <c r="P226" t="s">
        <v>24</v>
      </c>
      <c r="Q226" t="s">
        <v>24</v>
      </c>
    </row>
    <row r="227" spans="1:17" x14ac:dyDescent="0.25">
      <c r="A227">
        <v>431</v>
      </c>
      <c r="B227" t="s">
        <v>980</v>
      </c>
      <c r="C227" t="s">
        <v>24</v>
      </c>
      <c r="D227" t="s">
        <v>981</v>
      </c>
      <c r="E227" t="s">
        <v>39</v>
      </c>
      <c r="F227">
        <v>1</v>
      </c>
      <c r="G227">
        <v>0</v>
      </c>
      <c r="H227" t="s">
        <v>745</v>
      </c>
      <c r="I227">
        <v>1</v>
      </c>
      <c r="J227" t="s">
        <v>24</v>
      </c>
      <c r="K227">
        <v>0</v>
      </c>
      <c r="L227" t="s">
        <v>24</v>
      </c>
      <c r="M227" t="s">
        <v>24</v>
      </c>
      <c r="N227" t="s">
        <v>982</v>
      </c>
      <c r="O227" t="s">
        <v>983</v>
      </c>
      <c r="P227" t="s">
        <v>24</v>
      </c>
      <c r="Q227" t="s">
        <v>24</v>
      </c>
    </row>
    <row r="228" spans="1:17" x14ac:dyDescent="0.25">
      <c r="A228">
        <v>433</v>
      </c>
      <c r="B228" t="s">
        <v>984</v>
      </c>
      <c r="C228" t="s">
        <v>24</v>
      </c>
      <c r="D228" t="s">
        <v>985</v>
      </c>
      <c r="E228" t="s">
        <v>172</v>
      </c>
      <c r="F228">
        <v>1</v>
      </c>
      <c r="G228">
        <v>0</v>
      </c>
      <c r="H228" t="s">
        <v>431</v>
      </c>
      <c r="I228">
        <v>0</v>
      </c>
      <c r="J228" t="s">
        <v>24</v>
      </c>
      <c r="K228">
        <v>0</v>
      </c>
      <c r="L228" t="s">
        <v>24</v>
      </c>
      <c r="M228" t="s">
        <v>24</v>
      </c>
      <c r="N228" t="s">
        <v>986</v>
      </c>
      <c r="O228" t="s">
        <v>987</v>
      </c>
      <c r="P228" t="s">
        <v>24</v>
      </c>
      <c r="Q228" t="s">
        <v>24</v>
      </c>
    </row>
    <row r="229" spans="1:17" x14ac:dyDescent="0.25">
      <c r="A229">
        <v>434</v>
      </c>
      <c r="B229" t="s">
        <v>988</v>
      </c>
      <c r="C229" t="s">
        <v>24</v>
      </c>
      <c r="D229" t="s">
        <v>989</v>
      </c>
      <c r="E229" t="s">
        <v>172</v>
      </c>
      <c r="F229">
        <v>1</v>
      </c>
      <c r="G229">
        <v>0</v>
      </c>
      <c r="H229" t="s">
        <v>990</v>
      </c>
      <c r="I229">
        <v>0</v>
      </c>
      <c r="J229" t="s">
        <v>24</v>
      </c>
      <c r="K229">
        <v>0</v>
      </c>
      <c r="L229" t="s">
        <v>24</v>
      </c>
      <c r="M229" t="s">
        <v>24</v>
      </c>
      <c r="N229" t="s">
        <v>991</v>
      </c>
      <c r="O229" t="s">
        <v>992</v>
      </c>
      <c r="P229" t="s">
        <v>24</v>
      </c>
      <c r="Q229" t="s">
        <v>24</v>
      </c>
    </row>
    <row r="230" spans="1:17" x14ac:dyDescent="0.25">
      <c r="A230">
        <v>435</v>
      </c>
      <c r="B230" t="s">
        <v>993</v>
      </c>
      <c r="D230" t="s">
        <v>994</v>
      </c>
      <c r="E230" t="s">
        <v>39</v>
      </c>
      <c r="F230">
        <v>1</v>
      </c>
      <c r="G230">
        <v>0</v>
      </c>
      <c r="H230" t="s">
        <v>995</v>
      </c>
      <c r="I230">
        <v>0</v>
      </c>
      <c r="J230" t="s">
        <v>24</v>
      </c>
      <c r="K230">
        <v>0</v>
      </c>
      <c r="L230" t="s">
        <v>24</v>
      </c>
      <c r="M230" t="s">
        <v>24</v>
      </c>
      <c r="N230" t="s">
        <v>996</v>
      </c>
      <c r="O230" t="s">
        <v>1192</v>
      </c>
      <c r="P230" t="s">
        <v>24</v>
      </c>
      <c r="Q230" t="s">
        <v>24</v>
      </c>
    </row>
    <row r="231" spans="1:17" x14ac:dyDescent="0.25">
      <c r="A231">
        <v>436</v>
      </c>
      <c r="B231" t="s">
        <v>997</v>
      </c>
      <c r="D231" t="s">
        <v>998</v>
      </c>
      <c r="E231" t="s">
        <v>39</v>
      </c>
      <c r="F231">
        <v>0</v>
      </c>
      <c r="G231">
        <v>0</v>
      </c>
      <c r="I231">
        <v>1</v>
      </c>
      <c r="J231" t="s">
        <v>24</v>
      </c>
      <c r="K231">
        <v>0</v>
      </c>
      <c r="L231" t="s">
        <v>24</v>
      </c>
      <c r="M231" t="s">
        <v>24</v>
      </c>
      <c r="N231" t="s">
        <v>999</v>
      </c>
      <c r="O231" t="s">
        <v>1196</v>
      </c>
      <c r="P231" t="s">
        <v>1000</v>
      </c>
      <c r="Q231" t="s">
        <v>24</v>
      </c>
    </row>
    <row r="232" spans="1:17" x14ac:dyDescent="0.25">
      <c r="A232">
        <v>448</v>
      </c>
      <c r="B232" t="s">
        <v>1001</v>
      </c>
      <c r="C232" t="s">
        <v>24</v>
      </c>
      <c r="D232" t="s">
        <v>1002</v>
      </c>
      <c r="E232" t="s">
        <v>39</v>
      </c>
      <c r="F232">
        <v>1</v>
      </c>
      <c r="G232">
        <v>0</v>
      </c>
      <c r="H232" t="s">
        <v>1003</v>
      </c>
      <c r="I232">
        <v>1</v>
      </c>
      <c r="J232" t="s">
        <v>24</v>
      </c>
      <c r="K232">
        <v>0</v>
      </c>
      <c r="L232" t="s">
        <v>24</v>
      </c>
      <c r="M232" t="s">
        <v>24</v>
      </c>
      <c r="N232" t="s">
        <v>1004</v>
      </c>
      <c r="O232" t="s">
        <v>1005</v>
      </c>
      <c r="P232" t="s">
        <v>24</v>
      </c>
      <c r="Q232" t="s">
        <v>24</v>
      </c>
    </row>
    <row r="233" spans="1:17" x14ac:dyDescent="0.25">
      <c r="A233">
        <v>437</v>
      </c>
      <c r="B233" t="s">
        <v>1006</v>
      </c>
      <c r="C233" t="s">
        <v>24</v>
      </c>
      <c r="D233" t="s">
        <v>1007</v>
      </c>
      <c r="E233" t="s">
        <v>172</v>
      </c>
      <c r="F233">
        <v>1</v>
      </c>
      <c r="G233">
        <v>0</v>
      </c>
      <c r="H233" t="s">
        <v>139</v>
      </c>
      <c r="I233">
        <v>1</v>
      </c>
      <c r="J233" t="s">
        <v>1008</v>
      </c>
      <c r="K233">
        <v>0</v>
      </c>
      <c r="L233" t="s">
        <v>24</v>
      </c>
      <c r="M233" t="s">
        <v>24</v>
      </c>
      <c r="N233" t="s">
        <v>1009</v>
      </c>
      <c r="O233" t="s">
        <v>1010</v>
      </c>
      <c r="P233" t="s">
        <v>24</v>
      </c>
      <c r="Q233" t="s">
        <v>24</v>
      </c>
    </row>
    <row r="234" spans="1:17" x14ac:dyDescent="0.25">
      <c r="A234">
        <v>439</v>
      </c>
      <c r="B234" t="s">
        <v>1011</v>
      </c>
      <c r="C234" t="s">
        <v>24</v>
      </c>
      <c r="D234" t="s">
        <v>1012</v>
      </c>
      <c r="E234" t="s">
        <v>27</v>
      </c>
      <c r="F234">
        <v>1</v>
      </c>
      <c r="G234">
        <v>0</v>
      </c>
      <c r="H234" t="s">
        <v>964</v>
      </c>
      <c r="I234">
        <v>1</v>
      </c>
      <c r="J234" t="s">
        <v>24</v>
      </c>
      <c r="K234">
        <v>0</v>
      </c>
      <c r="L234" t="s">
        <v>24</v>
      </c>
      <c r="M234" t="s">
        <v>24</v>
      </c>
      <c r="N234" t="s">
        <v>1013</v>
      </c>
      <c r="O234" t="s">
        <v>1014</v>
      </c>
      <c r="P234" t="s">
        <v>24</v>
      </c>
      <c r="Q234" t="s">
        <v>24</v>
      </c>
    </row>
    <row r="235" spans="1:17" x14ac:dyDescent="0.25">
      <c r="A235">
        <v>440</v>
      </c>
      <c r="B235" t="s">
        <v>1015</v>
      </c>
      <c r="C235" t="s">
        <v>24</v>
      </c>
      <c r="D235" t="s">
        <v>1016</v>
      </c>
      <c r="E235" t="s">
        <v>27</v>
      </c>
      <c r="F235">
        <v>1</v>
      </c>
      <c r="G235">
        <v>0</v>
      </c>
      <c r="H235" t="s">
        <v>964</v>
      </c>
      <c r="I235">
        <v>0</v>
      </c>
      <c r="J235" t="s">
        <v>24</v>
      </c>
      <c r="K235">
        <v>0</v>
      </c>
      <c r="L235" t="s">
        <v>24</v>
      </c>
      <c r="M235" t="s">
        <v>24</v>
      </c>
      <c r="N235" t="s">
        <v>1017</v>
      </c>
      <c r="O235" t="s">
        <v>1018</v>
      </c>
      <c r="P235" t="s">
        <v>24</v>
      </c>
      <c r="Q235" t="s">
        <v>24</v>
      </c>
    </row>
    <row r="236" spans="1:17" x14ac:dyDescent="0.25">
      <c r="A236">
        <v>450</v>
      </c>
      <c r="B236" t="s">
        <v>1019</v>
      </c>
      <c r="C236" t="s">
        <v>24</v>
      </c>
      <c r="D236" t="s">
        <v>1020</v>
      </c>
      <c r="E236" t="s">
        <v>27</v>
      </c>
      <c r="F236">
        <v>1</v>
      </c>
      <c r="G236">
        <v>0</v>
      </c>
      <c r="H236" t="s">
        <v>431</v>
      </c>
      <c r="I236">
        <v>0</v>
      </c>
      <c r="J236" t="s">
        <v>24</v>
      </c>
      <c r="K236">
        <v>0</v>
      </c>
      <c r="L236" t="s">
        <v>24</v>
      </c>
      <c r="M236" t="s">
        <v>24</v>
      </c>
      <c r="N236" t="s">
        <v>1021</v>
      </c>
      <c r="O236" t="s">
        <v>1022</v>
      </c>
      <c r="P236" t="s">
        <v>24</v>
      </c>
      <c r="Q236" t="s">
        <v>24</v>
      </c>
    </row>
    <row r="237" spans="1:17" x14ac:dyDescent="0.25">
      <c r="A237">
        <v>441</v>
      </c>
      <c r="B237" t="s">
        <v>1023</v>
      </c>
      <c r="C237" t="s">
        <v>24</v>
      </c>
      <c r="D237" t="s">
        <v>1024</v>
      </c>
      <c r="E237" t="s">
        <v>39</v>
      </c>
      <c r="F237">
        <v>1</v>
      </c>
      <c r="G237">
        <v>0</v>
      </c>
      <c r="H237" t="s">
        <v>1025</v>
      </c>
      <c r="I237">
        <v>0</v>
      </c>
      <c r="J237" t="s">
        <v>24</v>
      </c>
      <c r="K237">
        <v>0</v>
      </c>
      <c r="L237" t="s">
        <v>24</v>
      </c>
      <c r="M237" t="s">
        <v>24</v>
      </c>
      <c r="N237" t="s">
        <v>1026</v>
      </c>
      <c r="O237" t="s">
        <v>1027</v>
      </c>
      <c r="P237" t="s">
        <v>24</v>
      </c>
      <c r="Q237" t="s">
        <v>24</v>
      </c>
    </row>
    <row r="238" spans="1:17" x14ac:dyDescent="0.25">
      <c r="A238">
        <v>442</v>
      </c>
      <c r="B238" t="s">
        <v>1028</v>
      </c>
      <c r="C238" t="s">
        <v>1029</v>
      </c>
      <c r="D238" t="s">
        <v>1030</v>
      </c>
      <c r="E238" t="s">
        <v>39</v>
      </c>
      <c r="F238">
        <v>1</v>
      </c>
      <c r="G238">
        <v>0</v>
      </c>
      <c r="H238" t="s">
        <v>1031</v>
      </c>
      <c r="I238">
        <v>0</v>
      </c>
      <c r="J238" t="s">
        <v>24</v>
      </c>
      <c r="K238">
        <v>0</v>
      </c>
      <c r="L238" t="s">
        <v>24</v>
      </c>
      <c r="M238" t="s">
        <v>24</v>
      </c>
      <c r="N238" t="s">
        <v>1032</v>
      </c>
      <c r="O238" t="s">
        <v>1193</v>
      </c>
      <c r="P238" t="s">
        <v>24</v>
      </c>
      <c r="Q238" t="s">
        <v>24</v>
      </c>
    </row>
    <row r="239" spans="1:17" x14ac:dyDescent="0.25">
      <c r="A239">
        <v>443</v>
      </c>
      <c r="B239" t="s">
        <v>1033</v>
      </c>
      <c r="C239" t="s">
        <v>24</v>
      </c>
      <c r="D239" t="s">
        <v>1034</v>
      </c>
      <c r="E239" t="s">
        <v>39</v>
      </c>
      <c r="F239">
        <v>1</v>
      </c>
      <c r="G239">
        <v>0</v>
      </c>
      <c r="H239" t="s">
        <v>1035</v>
      </c>
      <c r="I239">
        <v>0</v>
      </c>
      <c r="J239" t="s">
        <v>24</v>
      </c>
      <c r="K239">
        <v>0</v>
      </c>
      <c r="L239" t="s">
        <v>24</v>
      </c>
      <c r="M239" t="s">
        <v>24</v>
      </c>
      <c r="N239" t="s">
        <v>1036</v>
      </c>
      <c r="O239" t="s">
        <v>1037</v>
      </c>
      <c r="P239" t="s">
        <v>24</v>
      </c>
      <c r="Q239" t="s">
        <v>24</v>
      </c>
    </row>
    <row r="240" spans="1:17" x14ac:dyDescent="0.25">
      <c r="A240">
        <v>444</v>
      </c>
      <c r="B240" t="s">
        <v>1038</v>
      </c>
      <c r="C240" t="s">
        <v>24</v>
      </c>
      <c r="D240" t="s">
        <v>1039</v>
      </c>
      <c r="E240" t="s">
        <v>172</v>
      </c>
      <c r="F240">
        <v>1</v>
      </c>
      <c r="G240">
        <v>0</v>
      </c>
      <c r="H240" t="s">
        <v>1040</v>
      </c>
      <c r="I240">
        <v>1</v>
      </c>
      <c r="J240" t="s">
        <v>24</v>
      </c>
      <c r="K240">
        <v>0</v>
      </c>
      <c r="L240" t="s">
        <v>24</v>
      </c>
      <c r="M240" t="s">
        <v>24</v>
      </c>
      <c r="N240" t="s">
        <v>1041</v>
      </c>
      <c r="O240" t="s">
        <v>1042</v>
      </c>
      <c r="P240" t="s">
        <v>24</v>
      </c>
      <c r="Q240" t="s">
        <v>24</v>
      </c>
    </row>
    <row r="241" spans="1:17" x14ac:dyDescent="0.25">
      <c r="A241">
        <v>445</v>
      </c>
      <c r="B241" t="s">
        <v>1043</v>
      </c>
      <c r="C241" t="s">
        <v>24</v>
      </c>
      <c r="D241" t="s">
        <v>1044</v>
      </c>
      <c r="E241" t="s">
        <v>39</v>
      </c>
      <c r="F241">
        <v>0</v>
      </c>
      <c r="G241">
        <v>0</v>
      </c>
      <c r="H241" t="s">
        <v>1045</v>
      </c>
      <c r="I241">
        <v>1</v>
      </c>
      <c r="J241" t="s">
        <v>24</v>
      </c>
      <c r="K241">
        <v>0</v>
      </c>
      <c r="L241" t="s">
        <v>24</v>
      </c>
      <c r="M241" t="s">
        <v>24</v>
      </c>
      <c r="N241" t="s">
        <v>1046</v>
      </c>
      <c r="O241" t="s">
        <v>1047</v>
      </c>
      <c r="P241" t="s">
        <v>24</v>
      </c>
      <c r="Q241" t="s">
        <v>24</v>
      </c>
    </row>
    <row r="242" spans="1:17" x14ac:dyDescent="0.25">
      <c r="A242">
        <v>446</v>
      </c>
      <c r="B242" t="s">
        <v>1048</v>
      </c>
      <c r="C242" t="s">
        <v>24</v>
      </c>
      <c r="D242" t="s">
        <v>1049</v>
      </c>
      <c r="E242" t="s">
        <v>39</v>
      </c>
      <c r="F242">
        <v>0</v>
      </c>
      <c r="G242">
        <v>0</v>
      </c>
      <c r="H242" t="s">
        <v>28</v>
      </c>
      <c r="I242">
        <v>1</v>
      </c>
      <c r="J242" t="s">
        <v>24</v>
      </c>
      <c r="K242">
        <v>0</v>
      </c>
      <c r="L242" t="s">
        <v>24</v>
      </c>
      <c r="M242" t="s">
        <v>24</v>
      </c>
      <c r="N242" t="s">
        <v>1050</v>
      </c>
      <c r="O242" t="s">
        <v>1194</v>
      </c>
      <c r="P242" t="s">
        <v>24</v>
      </c>
      <c r="Q242" t="s">
        <v>24</v>
      </c>
    </row>
    <row r="243" spans="1:17" x14ac:dyDescent="0.25">
      <c r="A243">
        <v>447</v>
      </c>
      <c r="B243" t="s">
        <v>1051</v>
      </c>
      <c r="C243" t="s">
        <v>24</v>
      </c>
      <c r="D243" t="s">
        <v>1052</v>
      </c>
      <c r="E243" t="s">
        <v>39</v>
      </c>
      <c r="F243">
        <v>1</v>
      </c>
      <c r="G243">
        <v>0</v>
      </c>
      <c r="H243" t="s">
        <v>1053</v>
      </c>
      <c r="I243">
        <v>0</v>
      </c>
      <c r="J243" t="s">
        <v>24</v>
      </c>
      <c r="K243">
        <v>0</v>
      </c>
      <c r="L243" t="s">
        <v>24</v>
      </c>
      <c r="M243" t="s">
        <v>24</v>
      </c>
      <c r="N243" t="s">
        <v>1054</v>
      </c>
      <c r="O243" t="s">
        <v>1055</v>
      </c>
      <c r="P243" t="s">
        <v>24</v>
      </c>
      <c r="Q243" t="s">
        <v>24</v>
      </c>
    </row>
    <row r="244" spans="1:17" x14ac:dyDescent="0.25">
      <c r="A244">
        <v>449</v>
      </c>
      <c r="B244" t="s">
        <v>1056</v>
      </c>
      <c r="C244" t="s">
        <v>24</v>
      </c>
      <c r="D244" t="s">
        <v>1057</v>
      </c>
      <c r="E244" t="s">
        <v>172</v>
      </c>
      <c r="F244">
        <v>1</v>
      </c>
      <c r="G244">
        <v>0</v>
      </c>
      <c r="H244" t="s">
        <v>814</v>
      </c>
      <c r="I244">
        <v>1</v>
      </c>
      <c r="J244" t="s">
        <v>24</v>
      </c>
      <c r="K244">
        <v>0</v>
      </c>
      <c r="L244" t="s">
        <v>24</v>
      </c>
      <c r="M244" t="s">
        <v>24</v>
      </c>
      <c r="N244" t="s">
        <v>1058</v>
      </c>
      <c r="O244" t="s">
        <v>1059</v>
      </c>
      <c r="P244" t="s">
        <v>24</v>
      </c>
      <c r="Q244" t="s">
        <v>24</v>
      </c>
    </row>
    <row r="245" spans="1:17" x14ac:dyDescent="0.25">
      <c r="A245">
        <v>451</v>
      </c>
      <c r="B245" t="s">
        <v>1060</v>
      </c>
      <c r="C245" t="s">
        <v>24</v>
      </c>
      <c r="D245" t="s">
        <v>1061</v>
      </c>
      <c r="E245" t="s">
        <v>27</v>
      </c>
      <c r="F245">
        <v>1</v>
      </c>
      <c r="G245">
        <v>0</v>
      </c>
      <c r="H245" t="s">
        <v>96</v>
      </c>
      <c r="I245">
        <v>1</v>
      </c>
      <c r="J245" t="s">
        <v>24</v>
      </c>
      <c r="K245">
        <v>0</v>
      </c>
      <c r="L245" t="s">
        <v>24</v>
      </c>
      <c r="M245" t="s">
        <v>24</v>
      </c>
      <c r="N245" t="s">
        <v>1062</v>
      </c>
      <c r="O245" t="s">
        <v>1063</v>
      </c>
      <c r="P245" t="s">
        <v>24</v>
      </c>
      <c r="Q245" t="s">
        <v>24</v>
      </c>
    </row>
    <row r="246" spans="1:17" x14ac:dyDescent="0.25">
      <c r="A246">
        <v>452</v>
      </c>
      <c r="B246" t="s">
        <v>1064</v>
      </c>
      <c r="C246" t="s">
        <v>24</v>
      </c>
      <c r="D246" t="s">
        <v>1065</v>
      </c>
      <c r="E246" t="s">
        <v>39</v>
      </c>
      <c r="F246">
        <v>1</v>
      </c>
      <c r="G246">
        <v>0</v>
      </c>
      <c r="H246" t="s">
        <v>940</v>
      </c>
      <c r="I246">
        <v>1</v>
      </c>
      <c r="J246" t="s">
        <v>24</v>
      </c>
      <c r="K246">
        <v>0</v>
      </c>
      <c r="L246" t="s">
        <v>24</v>
      </c>
      <c r="M246" t="s">
        <v>24</v>
      </c>
      <c r="N246" t="s">
        <v>1066</v>
      </c>
      <c r="O246" t="s">
        <v>1067</v>
      </c>
      <c r="P246" t="s">
        <v>24</v>
      </c>
      <c r="Q246" t="s">
        <v>24</v>
      </c>
    </row>
    <row r="247" spans="1:17" x14ac:dyDescent="0.25">
      <c r="A247">
        <v>453</v>
      </c>
      <c r="B247" t="s">
        <v>1068</v>
      </c>
      <c r="C247" t="s">
        <v>24</v>
      </c>
      <c r="D247" t="s">
        <v>1069</v>
      </c>
      <c r="F247">
        <v>1</v>
      </c>
      <c r="G247">
        <v>0</v>
      </c>
      <c r="H247" t="s">
        <v>1068</v>
      </c>
      <c r="I247">
        <v>1</v>
      </c>
      <c r="J247" t="s">
        <v>24</v>
      </c>
      <c r="K247">
        <v>0</v>
      </c>
      <c r="L247" t="s">
        <v>24</v>
      </c>
      <c r="M247" t="s">
        <v>24</v>
      </c>
      <c r="N247" t="s">
        <v>1070</v>
      </c>
      <c r="O247" t="s">
        <v>1071</v>
      </c>
      <c r="P247" t="s">
        <v>24</v>
      </c>
      <c r="Q247" t="s">
        <v>24</v>
      </c>
    </row>
    <row r="248" spans="1:17" x14ac:dyDescent="0.25">
      <c r="A248">
        <v>469</v>
      </c>
      <c r="B248" t="s">
        <v>1072</v>
      </c>
      <c r="C248" t="s">
        <v>837</v>
      </c>
      <c r="D248" t="s">
        <v>838</v>
      </c>
      <c r="F248">
        <v>1</v>
      </c>
      <c r="G248">
        <v>0</v>
      </c>
      <c r="I248">
        <v>0</v>
      </c>
      <c r="J248" t="s">
        <v>24</v>
      </c>
      <c r="K248">
        <v>0</v>
      </c>
      <c r="L248" t="s">
        <v>24</v>
      </c>
      <c r="M248" t="s">
        <v>24</v>
      </c>
      <c r="O248" t="s">
        <v>1073</v>
      </c>
      <c r="P248" t="s">
        <v>24</v>
      </c>
      <c r="Q248" t="s">
        <v>24</v>
      </c>
    </row>
    <row r="249" spans="1:17" x14ac:dyDescent="0.25">
      <c r="A249">
        <v>470</v>
      </c>
      <c r="B249" t="s">
        <v>1074</v>
      </c>
      <c r="C249" t="s">
        <v>1075</v>
      </c>
      <c r="D249" t="s">
        <v>1076</v>
      </c>
      <c r="F249">
        <v>1</v>
      </c>
      <c r="G249">
        <v>0</v>
      </c>
      <c r="I249">
        <v>1</v>
      </c>
      <c r="J249" t="s">
        <v>24</v>
      </c>
      <c r="K249">
        <v>0</v>
      </c>
      <c r="L249" t="s">
        <v>24</v>
      </c>
      <c r="M249" t="s">
        <v>24</v>
      </c>
      <c r="O249" t="s">
        <v>1077</v>
      </c>
      <c r="P249" t="s">
        <v>24</v>
      </c>
      <c r="Q249" t="s">
        <v>24</v>
      </c>
    </row>
    <row r="250" spans="1:17" x14ac:dyDescent="0.25">
      <c r="A250">
        <v>471</v>
      </c>
      <c r="B250" t="s">
        <v>1078</v>
      </c>
      <c r="C250" t="s">
        <v>24</v>
      </c>
      <c r="D250" t="s">
        <v>1079</v>
      </c>
      <c r="F250">
        <v>1</v>
      </c>
      <c r="G250">
        <v>0</v>
      </c>
      <c r="I250">
        <v>0</v>
      </c>
      <c r="J250" t="s">
        <v>24</v>
      </c>
      <c r="K250">
        <v>0</v>
      </c>
      <c r="L250" t="s">
        <v>24</v>
      </c>
      <c r="M250" t="s">
        <v>24</v>
      </c>
      <c r="O250" t="s">
        <v>1080</v>
      </c>
      <c r="P250" t="s">
        <v>24</v>
      </c>
      <c r="Q250" t="s">
        <v>24</v>
      </c>
    </row>
    <row r="251" spans="1:17" x14ac:dyDescent="0.25">
      <c r="A251">
        <v>454</v>
      </c>
      <c r="B251" t="s">
        <v>1081</v>
      </c>
      <c r="C251" t="s">
        <v>1082</v>
      </c>
      <c r="D251" t="s">
        <v>1083</v>
      </c>
      <c r="E251" t="s">
        <v>39</v>
      </c>
      <c r="F251">
        <v>1</v>
      </c>
      <c r="G251">
        <v>0</v>
      </c>
      <c r="I251">
        <v>0</v>
      </c>
      <c r="J251" t="s">
        <v>24</v>
      </c>
      <c r="K251">
        <v>0</v>
      </c>
      <c r="L251" t="s">
        <v>24</v>
      </c>
      <c r="M251" t="s">
        <v>24</v>
      </c>
      <c r="O251" t="s">
        <v>1084</v>
      </c>
      <c r="P251" t="s">
        <v>24</v>
      </c>
      <c r="Q251" t="s">
        <v>24</v>
      </c>
    </row>
    <row r="252" spans="1:17" x14ac:dyDescent="0.25">
      <c r="A252">
        <v>455</v>
      </c>
      <c r="B252" t="s">
        <v>1085</v>
      </c>
      <c r="D252" t="s">
        <v>1086</v>
      </c>
      <c r="E252" t="s">
        <v>192</v>
      </c>
      <c r="F252">
        <v>1</v>
      </c>
      <c r="G252">
        <v>0</v>
      </c>
      <c r="H252" t="s">
        <v>1087</v>
      </c>
      <c r="I252">
        <v>0</v>
      </c>
      <c r="J252" t="s">
        <v>1088</v>
      </c>
      <c r="K252">
        <v>0</v>
      </c>
      <c r="L252" t="s">
        <v>24</v>
      </c>
      <c r="M252" t="s">
        <v>24</v>
      </c>
      <c r="N252" t="s">
        <v>1089</v>
      </c>
      <c r="O252" t="s">
        <v>1090</v>
      </c>
      <c r="P252" t="s">
        <v>24</v>
      </c>
      <c r="Q252" t="s">
        <v>24</v>
      </c>
    </row>
    <row r="253" spans="1:17" x14ac:dyDescent="0.25">
      <c r="A253">
        <v>456</v>
      </c>
      <c r="B253" t="s">
        <v>1091</v>
      </c>
      <c r="D253" t="s">
        <v>1092</v>
      </c>
      <c r="F253">
        <v>1</v>
      </c>
      <c r="G253">
        <v>0</v>
      </c>
      <c r="H253" t="s">
        <v>1093</v>
      </c>
      <c r="I253">
        <v>0</v>
      </c>
      <c r="J253" t="s">
        <v>24</v>
      </c>
      <c r="K253">
        <v>0</v>
      </c>
      <c r="L253" t="s">
        <v>24</v>
      </c>
      <c r="M253" t="s">
        <v>24</v>
      </c>
      <c r="N253" t="s">
        <v>1094</v>
      </c>
      <c r="O253" t="s">
        <v>1095</v>
      </c>
      <c r="P253" t="s">
        <v>24</v>
      </c>
      <c r="Q253" t="s">
        <v>24</v>
      </c>
    </row>
    <row r="254" spans="1:17" x14ac:dyDescent="0.25">
      <c r="A254">
        <v>458</v>
      </c>
      <c r="B254" t="s">
        <v>1096</v>
      </c>
      <c r="C254" t="s">
        <v>24</v>
      </c>
      <c r="D254" t="s">
        <v>1097</v>
      </c>
      <c r="E254" t="s">
        <v>172</v>
      </c>
      <c r="F254">
        <v>1</v>
      </c>
      <c r="G254">
        <v>0</v>
      </c>
      <c r="H254" t="s">
        <v>1098</v>
      </c>
      <c r="I254">
        <v>0</v>
      </c>
      <c r="J254" t="s">
        <v>24</v>
      </c>
      <c r="K254">
        <v>0</v>
      </c>
      <c r="L254" t="s">
        <v>24</v>
      </c>
      <c r="M254" t="s">
        <v>24</v>
      </c>
      <c r="N254" t="s">
        <v>1099</v>
      </c>
      <c r="O254" t="s">
        <v>1100</v>
      </c>
      <c r="P254" t="s">
        <v>24</v>
      </c>
      <c r="Q254" t="s">
        <v>24</v>
      </c>
    </row>
    <row r="255" spans="1:17" x14ac:dyDescent="0.25">
      <c r="A255">
        <v>460</v>
      </c>
      <c r="B255" t="s">
        <v>1101</v>
      </c>
      <c r="D255" t="s">
        <v>1102</v>
      </c>
      <c r="E255" t="s">
        <v>27</v>
      </c>
      <c r="F255">
        <v>1</v>
      </c>
      <c r="G255">
        <v>1</v>
      </c>
      <c r="H255" t="s">
        <v>139</v>
      </c>
      <c r="I255">
        <v>1</v>
      </c>
      <c r="J255" t="s">
        <v>24</v>
      </c>
      <c r="K255">
        <v>0</v>
      </c>
      <c r="L255" t="s">
        <v>24</v>
      </c>
      <c r="M255" t="s">
        <v>24</v>
      </c>
      <c r="N255" t="s">
        <v>1103</v>
      </c>
      <c r="O255" t="s">
        <v>1197</v>
      </c>
      <c r="P255" t="s">
        <v>24</v>
      </c>
      <c r="Q255" t="s">
        <v>24</v>
      </c>
    </row>
    <row r="256" spans="1:17" x14ac:dyDescent="0.25">
      <c r="A256">
        <v>462</v>
      </c>
      <c r="B256" t="s">
        <v>1104</v>
      </c>
      <c r="C256" t="s">
        <v>24</v>
      </c>
      <c r="D256" t="s">
        <v>1105</v>
      </c>
      <c r="F256">
        <v>1</v>
      </c>
      <c r="G256">
        <v>0</v>
      </c>
      <c r="H256" t="s">
        <v>940</v>
      </c>
      <c r="I256">
        <v>1</v>
      </c>
      <c r="J256" t="s">
        <v>24</v>
      </c>
      <c r="K256">
        <v>0</v>
      </c>
      <c r="L256" t="s">
        <v>24</v>
      </c>
      <c r="M256" t="s">
        <v>24</v>
      </c>
      <c r="N256" t="s">
        <v>1106</v>
      </c>
      <c r="O256" t="s">
        <v>1107</v>
      </c>
      <c r="P256" t="s">
        <v>24</v>
      </c>
      <c r="Q256" t="s">
        <v>24</v>
      </c>
    </row>
    <row r="257" spans="1:17" x14ac:dyDescent="0.25">
      <c r="A257">
        <v>464</v>
      </c>
      <c r="B257" t="s">
        <v>1108</v>
      </c>
      <c r="C257" t="s">
        <v>24</v>
      </c>
      <c r="D257" t="s">
        <v>1109</v>
      </c>
      <c r="F257">
        <v>1</v>
      </c>
      <c r="G257">
        <v>0</v>
      </c>
      <c r="H257" t="s">
        <v>1108</v>
      </c>
      <c r="I257">
        <v>1</v>
      </c>
      <c r="J257" t="s">
        <v>24</v>
      </c>
      <c r="K257">
        <v>0</v>
      </c>
      <c r="L257" t="s">
        <v>24</v>
      </c>
      <c r="M257" t="s">
        <v>24</v>
      </c>
      <c r="N257" t="s">
        <v>1110</v>
      </c>
      <c r="O257" t="s">
        <v>1111</v>
      </c>
      <c r="P257" t="s">
        <v>24</v>
      </c>
      <c r="Q257" t="s">
        <v>24</v>
      </c>
    </row>
    <row r="258" spans="1:17" x14ac:dyDescent="0.25">
      <c r="A258">
        <v>465</v>
      </c>
      <c r="B258" t="s">
        <v>1112</v>
      </c>
      <c r="C258" t="s">
        <v>24</v>
      </c>
      <c r="D258" t="s">
        <v>1113</v>
      </c>
      <c r="F258">
        <v>0</v>
      </c>
      <c r="G258">
        <v>0</v>
      </c>
      <c r="I258">
        <v>0</v>
      </c>
      <c r="J258" t="s">
        <v>24</v>
      </c>
      <c r="K258">
        <v>0</v>
      </c>
      <c r="L258" t="s">
        <v>24</v>
      </c>
      <c r="M258" t="s">
        <v>24</v>
      </c>
      <c r="N258" t="s">
        <v>1114</v>
      </c>
      <c r="O258" t="s">
        <v>1115</v>
      </c>
      <c r="P258" t="s">
        <v>24</v>
      </c>
      <c r="Q258" t="s">
        <v>24</v>
      </c>
    </row>
    <row r="259" spans="1:17" x14ac:dyDescent="0.25">
      <c r="A259">
        <v>466</v>
      </c>
      <c r="B259" t="s">
        <v>1116</v>
      </c>
      <c r="C259" t="s">
        <v>24</v>
      </c>
      <c r="D259" t="s">
        <v>1117</v>
      </c>
      <c r="E259" t="s">
        <v>39</v>
      </c>
      <c r="F259">
        <v>1</v>
      </c>
      <c r="G259">
        <v>0</v>
      </c>
      <c r="H259" t="s">
        <v>814</v>
      </c>
      <c r="I259">
        <v>1</v>
      </c>
      <c r="J259" t="s">
        <v>24</v>
      </c>
      <c r="K259">
        <v>0</v>
      </c>
      <c r="L259" t="s">
        <v>24</v>
      </c>
      <c r="M259" t="s">
        <v>24</v>
      </c>
      <c r="N259" t="s">
        <v>1118</v>
      </c>
      <c r="O259" t="s">
        <v>1119</v>
      </c>
      <c r="P259" t="s">
        <v>24</v>
      </c>
      <c r="Q259" t="s">
        <v>24</v>
      </c>
    </row>
    <row r="260" spans="1:17" x14ac:dyDescent="0.25">
      <c r="A260">
        <v>467</v>
      </c>
      <c r="B260" t="s">
        <v>1120</v>
      </c>
      <c r="C260" t="s">
        <v>24</v>
      </c>
      <c r="D260" t="s">
        <v>1121</v>
      </c>
      <c r="E260" t="s">
        <v>20</v>
      </c>
      <c r="F260">
        <v>1</v>
      </c>
      <c r="G260">
        <v>0</v>
      </c>
      <c r="H260" t="s">
        <v>884</v>
      </c>
      <c r="I260">
        <v>0</v>
      </c>
      <c r="J260" t="s">
        <v>885</v>
      </c>
      <c r="K260">
        <v>0</v>
      </c>
      <c r="L260" t="s">
        <v>24</v>
      </c>
      <c r="M260" t="s">
        <v>24</v>
      </c>
      <c r="N260" t="s">
        <v>1122</v>
      </c>
      <c r="O260" t="s">
        <v>1123</v>
      </c>
      <c r="P260" t="s">
        <v>24</v>
      </c>
      <c r="Q260" t="s">
        <v>24</v>
      </c>
    </row>
    <row r="261" spans="1:17" x14ac:dyDescent="0.25">
      <c r="A261">
        <v>468</v>
      </c>
      <c r="B261" t="s">
        <v>1124</v>
      </c>
      <c r="C261" t="s">
        <v>1125</v>
      </c>
      <c r="D261" t="s">
        <v>1126</v>
      </c>
      <c r="F261">
        <v>1</v>
      </c>
      <c r="G261">
        <v>0</v>
      </c>
      <c r="I261">
        <v>0</v>
      </c>
      <c r="J261" t="s">
        <v>1127</v>
      </c>
      <c r="K261">
        <v>0</v>
      </c>
      <c r="L261" t="s">
        <v>24</v>
      </c>
      <c r="M261" t="s">
        <v>24</v>
      </c>
      <c r="N261" t="s">
        <v>1128</v>
      </c>
      <c r="O261" t="s">
        <v>1129</v>
      </c>
      <c r="P261" t="s">
        <v>24</v>
      </c>
      <c r="Q261"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60"/>
  <sheetViews>
    <sheetView tabSelected="1" topLeftCell="A245" workbookViewId="0">
      <selection activeCell="B262" sqref="B262"/>
    </sheetView>
  </sheetViews>
  <sheetFormatPr defaultRowHeight="15" x14ac:dyDescent="0.25"/>
  <cols>
    <col min="2" max="2" width="28.7109375" customWidth="1"/>
    <col min="3" max="3" width="31.7109375" customWidth="1"/>
    <col min="7" max="7" width="23.85546875" customWidth="1"/>
    <col min="8" max="8" width="28.42578125" customWidth="1"/>
    <col min="9" max="9" width="11.7109375" customWidth="1"/>
    <col min="10" max="10" width="32.7109375" customWidth="1"/>
  </cols>
  <sheetData>
    <row r="1" spans="1:10" s="2" customFormat="1" ht="30" x14ac:dyDescent="0.25">
      <c r="A1" s="1" t="s">
        <v>1130</v>
      </c>
      <c r="B1" s="2" t="s">
        <v>1131</v>
      </c>
      <c r="C1" s="2" t="s">
        <v>1132</v>
      </c>
      <c r="D1" s="2" t="s">
        <v>1133</v>
      </c>
      <c r="E1" s="3" t="s">
        <v>1134</v>
      </c>
      <c r="F1" s="3" t="s">
        <v>1135</v>
      </c>
      <c r="G1" s="4" t="s">
        <v>1136</v>
      </c>
      <c r="H1" s="2" t="s">
        <v>1137</v>
      </c>
      <c r="I1" s="2" t="s">
        <v>1198</v>
      </c>
      <c r="J1" s="2" t="s">
        <v>1199</v>
      </c>
    </row>
    <row r="2" spans="1:10" x14ac:dyDescent="0.25">
      <c r="A2">
        <v>1</v>
      </c>
      <c r="B2" t="str">
        <f>orig_e_resources_table!B2</f>
        <v>AAPT</v>
      </c>
      <c r="C2" t="str">
        <f>IF(orig_e_resources_table!C2="","",orig_e_resources_table!C2)</f>
        <v>American Association of Physics Teachers</v>
      </c>
      <c r="D2" t="str">
        <f>orig_e_resources_table!D2</f>
        <v>http://ojps.aip.org/vsearch/servlet/VerityServlet?KEY=ALL</v>
      </c>
      <c r="E2" t="str">
        <f>LOWER(IF(orig_e_resources_table!F2=1,TRUE,FALSE))</f>
        <v>true</v>
      </c>
      <c r="F2" t="str">
        <f>LOWER(IF(orig_e_resources_table!I2=1,TRUE,FALSE))</f>
        <v>true</v>
      </c>
      <c r="G2" t="str">
        <f>SUBSTITUTE(SUBSTITUTE(orig_e_resources_table!O2,CHAR(13),""),CHAR(10),"")</f>
        <v>Access journals published by the American Association of Physics Teachers in the field of physics.</v>
      </c>
      <c r="I2" t="str">
        <f t="shared" ref="I2:I65" si="0">IF(E2="true","xxx","")</f>
        <v>xxx</v>
      </c>
      <c r="J2" t="s">
        <v>1200</v>
      </c>
    </row>
    <row r="3" spans="1:10" x14ac:dyDescent="0.25">
      <c r="A3">
        <v>2</v>
      </c>
      <c r="B3" t="str">
        <f>orig_e_resources_table!B3</f>
        <v>Academic Search Premier</v>
      </c>
      <c r="C3" t="str">
        <f>IF(orig_e_resources_table!C3="","",orig_e_resources_table!C3)</f>
        <v/>
      </c>
      <c r="D3" t="str">
        <f>orig_e_resources_table!D3</f>
        <v>http://search.EBSCOhost.com/login.asp?profile=web&amp;defaultdb=aph</v>
      </c>
      <c r="E3" t="str">
        <f>LOWER(IF(orig_e_resources_table!F3=1,TRUE,FALSE))</f>
        <v>true</v>
      </c>
      <c r="F3" t="str">
        <f>LOWER(IF(orig_e_resources_table!I3=1,TRUE,FALSE))</f>
        <v>true</v>
      </c>
      <c r="G3" t="str">
        <f>SUBSTITUTE(SUBSTITUTE(orig_e_resources_table!O3,CHAR(13),""),CHAR(10),"")</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c r="I3" t="str">
        <f t="shared" si="0"/>
        <v>xxx</v>
      </c>
      <c r="J3" t="s">
        <v>1200</v>
      </c>
    </row>
    <row r="4" spans="1:10" x14ac:dyDescent="0.25">
      <c r="A4">
        <v>3</v>
      </c>
      <c r="B4" t="str">
        <f>orig_e_resources_table!B4</f>
        <v>ACM Digital Library</v>
      </c>
      <c r="C4" t="str">
        <f>IF(orig_e_resources_table!C4="","",orig_e_resources_table!C4)</f>
        <v>Association for Computing Machinery</v>
      </c>
      <c r="D4" t="str">
        <f>orig_e_resources_table!D4</f>
        <v>http://portal.acm.org/dl.cfm</v>
      </c>
      <c r="E4" t="str">
        <f>LOWER(IF(orig_e_resources_table!F4=1,TRUE,FALSE))</f>
        <v>true</v>
      </c>
      <c r="F4" t="str">
        <f>LOWER(IF(orig_e_resources_table!I4=1,TRUE,FALSE))</f>
        <v>true</v>
      </c>
      <c r="G4" t="str">
        <f>SUBSTITUTE(SUBSTITUTE(orig_e_resources_table!O4,CHAR(13),""),CHAR(10),"")</f>
        <v>The Association for Computing Machinery Digital Library is an online repository of papers from publications that have been published, co-published, or co-marketed by the ACM, including journals, newsletters, and conference proceedings. All computing subject areas are covered.</v>
      </c>
      <c r="I4" t="str">
        <f t="shared" si="0"/>
        <v>xxx</v>
      </c>
      <c r="J4" t="s">
        <v>1200</v>
      </c>
    </row>
    <row r="5" spans="1:10" x14ac:dyDescent="0.25">
      <c r="A5">
        <v>4</v>
      </c>
      <c r="B5" t="str">
        <f>orig_e_resources_table!B5</f>
        <v>Acronym Finder</v>
      </c>
      <c r="C5" t="str">
        <f>IF(orig_e_resources_table!C5="","",orig_e_resources_table!C5)</f>
        <v/>
      </c>
      <c r="D5" t="str">
        <f>orig_e_resources_table!D5</f>
        <v>http://www.acronymfinder.com/</v>
      </c>
      <c r="E5" t="str">
        <f>LOWER(IF(orig_e_resources_table!F5=1,TRUE,FALSE))</f>
        <v>true</v>
      </c>
      <c r="F5" t="str">
        <f>LOWER(IF(orig_e_resources_table!I5=1,TRUE,FALSE))</f>
        <v>false</v>
      </c>
      <c r="G5" t="str">
        <f>SUBSTITUTE(SUBSTITUTE(orig_e_resources_table!O5,CHAR(13),""),CHAR(10),"")</f>
        <v>With more than 600,000 human-edited definitions, Acronym Finder is the world's largest and most comprehensive dictionary of acronyms, abbreviations, and initialisms.</v>
      </c>
      <c r="I5" t="str">
        <f t="shared" si="0"/>
        <v>xxx</v>
      </c>
      <c r="J5" t="s">
        <v>1207</v>
      </c>
    </row>
    <row r="6" spans="1:10" x14ac:dyDescent="0.25">
      <c r="A6">
        <v>5</v>
      </c>
      <c r="B6" t="str">
        <f>orig_e_resources_table!B6</f>
        <v>ACS</v>
      </c>
      <c r="C6" t="str">
        <f>IF(orig_e_resources_table!C6="","",orig_e_resources_table!C6)</f>
        <v>American Chemical Society</v>
      </c>
      <c r="D6" t="str">
        <f>orig_e_resources_table!D6</f>
        <v>http://pubs.acs.org/wls/journals/query/subscriberSearch.html</v>
      </c>
      <c r="E6" t="str">
        <f>LOWER(IF(orig_e_resources_table!F6=1,TRUE,FALSE))</f>
        <v>true</v>
      </c>
      <c r="F6" t="str">
        <f>LOWER(IF(orig_e_resources_table!I6=1,TRUE,FALSE))</f>
        <v>true</v>
      </c>
      <c r="G6" t="str">
        <f>SUBSTITUTE(SUBSTITUTE(orig_e_resources_table!O6,CHAR(13),""),CHAR(10),"")</f>
        <v xml:space="preserve">Online repository of peer-reviewed research journals published by the American Chemical Society, covering all aspects of chemistry and chemical sciences. </v>
      </c>
      <c r="I6" t="str">
        <f t="shared" si="0"/>
        <v>xxx</v>
      </c>
      <c r="J6" t="s">
        <v>1200</v>
      </c>
    </row>
    <row r="7" spans="1:10" x14ac:dyDescent="0.25">
      <c r="A7">
        <v>6</v>
      </c>
      <c r="B7" t="str">
        <f>orig_e_resources_table!B7</f>
        <v>ADAMS</v>
      </c>
      <c r="C7" t="str">
        <f>IF(orig_e_resources_table!C7="","",orig_e_resources_table!C7)</f>
        <v>Agencywide Documents Access and Management System</v>
      </c>
      <c r="D7" t="str">
        <f>orig_e_resources_table!D7</f>
        <v>http://www.nrc.gov/reading-rm/adams/web-based.html</v>
      </c>
      <c r="E7" t="str">
        <f>LOWER(IF(orig_e_resources_table!F7=1,TRUE,FALSE))</f>
        <v>true</v>
      </c>
      <c r="F7" t="str">
        <f>LOWER(IF(orig_e_resources_table!I7=1,TRUE,FALSE))</f>
        <v>false</v>
      </c>
      <c r="G7" t="str">
        <f>SUBSTITUTE(SUBSTITUTE(orig_e_resources_table!O7,CHAR(13),""),CHAR(10),"")</f>
        <v>Reports and documents from the U.S. Nuclear Regulatory Commission (NRC). ADAMS documents are provided in either Adobe Portable Document Format (PDF) or Tagged Image File Format (TIFF).</v>
      </c>
      <c r="I7" t="str">
        <f t="shared" si="0"/>
        <v>xxx</v>
      </c>
      <c r="J7" t="s">
        <v>1201</v>
      </c>
    </row>
    <row r="8" spans="1:10" x14ac:dyDescent="0.25">
      <c r="A8">
        <v>7</v>
      </c>
      <c r="B8" t="str">
        <f>orig_e_resources_table!B8</f>
        <v>Advanced Polymers Abstracts</v>
      </c>
      <c r="C8" t="str">
        <f>IF(orig_e_resources_table!C8="","",orig_e_resources_table!C8)</f>
        <v/>
      </c>
      <c r="D8" t="str">
        <f>orig_e_resources_table!D8</f>
        <v>http://www.csa.com/htbin/dbrng.cgi?username=paulg&amp;access=paulg20&amp;db=ema-polymers-set-c</v>
      </c>
      <c r="E8" t="str">
        <f>LOWER(IF(orig_e_resources_table!F8=1,TRUE,FALSE))</f>
        <v>false</v>
      </c>
      <c r="F8" t="str">
        <f>LOWER(IF(orig_e_resources_table!I8=1,TRUE,FALSE))</f>
        <v>true</v>
      </c>
      <c r="G8" t="str">
        <f>SUBSTITUTE(SUBSTITUTE(orig_e_resources_table!O8,CHAR(13),""),CHAR(10),"")</f>
        <v>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c r="I8" t="str">
        <f t="shared" si="0"/>
        <v/>
      </c>
      <c r="J8" t="s">
        <v>1200</v>
      </c>
    </row>
    <row r="9" spans="1:10" x14ac:dyDescent="0.25">
      <c r="A9">
        <v>8</v>
      </c>
      <c r="B9" t="str">
        <f>orig_e_resources_table!B9</f>
        <v>Aerospace &amp;amp; High Technology Database</v>
      </c>
      <c r="C9" t="str">
        <f>IF(orig_e_resources_table!C9="","",orig_e_resources_table!C9)</f>
        <v/>
      </c>
      <c r="D9" t="str">
        <f>orig_e_resources_table!D9</f>
        <v>http://www.csa.com/htbin/dbrng.cgi?username=paulg&amp;access=paulg20&amp;db=aerospace-set-c</v>
      </c>
      <c r="E9" t="str">
        <f>LOWER(IF(orig_e_resources_table!F9=1,TRUE,FALSE))</f>
        <v>false</v>
      </c>
      <c r="F9" t="str">
        <f>LOWER(IF(orig_e_resources_table!I9=1,TRUE,FALSE))</f>
        <v>true</v>
      </c>
      <c r="G9" t="str">
        <f>SUBSTITUTE(SUBSTITUTE(orig_e_resources_table!O9,CHAR(13),""),CHAR(10),"")</f>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c r="I9" t="str">
        <f t="shared" si="0"/>
        <v/>
      </c>
      <c r="J9" t="s">
        <v>1200</v>
      </c>
    </row>
    <row r="10" spans="1:10" x14ac:dyDescent="0.25">
      <c r="A10">
        <v>9</v>
      </c>
      <c r="B10" t="str">
        <f>orig_e_resources_table!B10</f>
        <v>AISC freePubs</v>
      </c>
      <c r="C10" t="str">
        <f>IF(orig_e_resources_table!C10="","",orig_e_resources_table!C10)</f>
        <v>American Institute of Steel Construction</v>
      </c>
      <c r="D10" t="str">
        <f>orig_e_resources_table!D10</f>
        <v>http://www.aisc.org/content.aspx?id=2882</v>
      </c>
      <c r="E10" t="str">
        <f>LOWER(IF(orig_e_resources_table!F10=1,TRUE,FALSE))</f>
        <v>true</v>
      </c>
      <c r="F10" t="str">
        <f>LOWER(IF(orig_e_resources_table!I10=1,TRUE,FALSE))</f>
        <v>false</v>
      </c>
      <c r="G10" t="str">
        <f>SUBSTITUTE(SUBSTITUTE(orig_e_resources_table!O10,CHAR(13),""),CHAR(10),"")</f>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v>
      </c>
      <c r="I10" t="str">
        <f t="shared" si="0"/>
        <v>xxx</v>
      </c>
      <c r="J10" t="s">
        <v>1200</v>
      </c>
    </row>
    <row r="11" spans="1:10" x14ac:dyDescent="0.25">
      <c r="A11">
        <v>10</v>
      </c>
      <c r="B11" t="str">
        <f>orig_e_resources_table!B11</f>
        <v>Algology Mycology and Protozoology Abstracts (Microbiology C)</v>
      </c>
      <c r="C11" t="str">
        <f>IF(orig_e_resources_table!C11="","",orig_e_resources_table!C11)</f>
        <v/>
      </c>
      <c r="D11" t="str">
        <f>orig_e_resources_table!D11</f>
        <v>http://www.csa.com/htbin/dbrng.cgi?username=paulg&amp;access=paulg20&amp;db=http://www.csa.com/htbin/dbrng.cgi?username=paulg&amp;access=paulg20&amp;db=microbiology-c-set-c</v>
      </c>
      <c r="E11" t="str">
        <f>LOWER(IF(orig_e_resources_table!F11=1,TRUE,FALSE))</f>
        <v>false</v>
      </c>
      <c r="F11" t="str">
        <f>LOWER(IF(orig_e_resources_table!I11=1,TRUE,FALSE))</f>
        <v>true</v>
      </c>
      <c r="G11" t="str">
        <f>SUBSTITUTE(SUBSTITUTE(orig_e_resources_table!O11,CHAR(13),""),CHAR(10),"")</f>
        <v>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v>
      </c>
      <c r="I11" t="str">
        <f t="shared" si="0"/>
        <v/>
      </c>
      <c r="J11" t="s">
        <v>1200</v>
      </c>
    </row>
    <row r="12" spans="1:10" x14ac:dyDescent="0.25">
      <c r="A12">
        <v>11</v>
      </c>
      <c r="B12" t="str">
        <f>orig_e_resources_table!B12</f>
        <v>Aluminium Industry Abstracts</v>
      </c>
      <c r="C12" t="str">
        <f>IF(orig_e_resources_table!C12="","",orig_e_resources_table!C12)</f>
        <v/>
      </c>
      <c r="D12" t="str">
        <f>orig_e_resources_table!D12</f>
        <v>http://www.csa.com/htbin/dbrng.cgi?username=paulg&amp;access=paulg20&amp;db=aia-set-c</v>
      </c>
      <c r="E12" t="str">
        <f>LOWER(IF(orig_e_resources_table!F12=1,TRUE,FALSE))</f>
        <v>false</v>
      </c>
      <c r="F12" t="str">
        <f>LOWER(IF(orig_e_resources_table!I12=1,TRUE,FALSE))</f>
        <v>true</v>
      </c>
      <c r="G12" t="str">
        <f>SUBSTITUTE(SUBSTITUTE(orig_e_resources_table!O12,CHAR(13),""),CHAR(10),"")</f>
        <v>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v>
      </c>
      <c r="I12" t="str">
        <f t="shared" si="0"/>
        <v/>
      </c>
      <c r="J12" t="s">
        <v>1200</v>
      </c>
    </row>
    <row r="13" spans="1:10" x14ac:dyDescent="0.25">
      <c r="A13">
        <v>12</v>
      </c>
      <c r="B13" t="str">
        <f>orig_e_resources_table!B13</f>
        <v>American Institute of Physics</v>
      </c>
      <c r="C13" t="str">
        <f>IF(orig_e_resources_table!C13="","",orig_e_resources_table!C13)</f>
        <v/>
      </c>
      <c r="D13" t="str">
        <f>orig_e_resources_table!D13</f>
        <v>http://ojps.aip.org/vsearch/servlet/VerityServlet?KEY=ALL</v>
      </c>
      <c r="E13" t="str">
        <f>LOWER(IF(orig_e_resources_table!F13=1,TRUE,FALSE))</f>
        <v>true</v>
      </c>
      <c r="F13" t="str">
        <f>LOWER(IF(orig_e_resources_table!I13=1,TRUE,FALSE))</f>
        <v>true</v>
      </c>
      <c r="G13" t="str">
        <f>SUBSTITUTE(SUBSTITUTE(orig_e_resources_table!O13,CHAR(13),""),CHAR(10),"")</f>
        <v>Journals published by the American Institute of Physics. A pioneer in digital publishing, AIP is also one of the world's largest publishers of physics journals and produces the publications of more than 25 scientific and engineering societies.</v>
      </c>
      <c r="I13" t="str">
        <f t="shared" si="0"/>
        <v>xxx</v>
      </c>
      <c r="J13" t="s">
        <v>1200</v>
      </c>
    </row>
    <row r="14" spans="1:10" x14ac:dyDescent="0.25">
      <c r="A14">
        <v>13</v>
      </c>
      <c r="B14" t="str">
        <f>orig_e_resources_table!B14</f>
        <v>American Physical Society</v>
      </c>
      <c r="C14" t="str">
        <f>IF(orig_e_resources_table!C14="","",orig_e_resources_table!C14)</f>
        <v/>
      </c>
      <c r="D14" t="str">
        <f>orig_e_resources_table!D14</f>
        <v>http://publish.aps.org/</v>
      </c>
      <c r="E14" t="str">
        <f>LOWER(IF(orig_e_resources_table!F14=1,TRUE,FALSE))</f>
        <v>true</v>
      </c>
      <c r="F14" t="str">
        <f>LOWER(IF(orig_e_resources_table!I14=1,TRUE,FALSE))</f>
        <v>true</v>
      </c>
      <c r="G14" t="str">
        <f>SUBSTITUTE(SUBSTITUTE(orig_e_resources_table!O14,CHAR(13),""),CHAR(10),"")</f>
        <v>Journals published by the American Physical Society, including Physical Review and Physical Review Letters.</v>
      </c>
      <c r="I14" t="str">
        <f t="shared" si="0"/>
        <v>xxx</v>
      </c>
      <c r="J14" t="s">
        <v>1200</v>
      </c>
    </row>
    <row r="15" spans="1:10" x14ac:dyDescent="0.25">
      <c r="A15">
        <v>14</v>
      </c>
      <c r="B15" t="str">
        <f>orig_e_resources_table!B15</f>
        <v>Animal Behavior Abstracts</v>
      </c>
      <c r="C15" t="str">
        <f>IF(orig_e_resources_table!C15="","",orig_e_resources_table!C15)</f>
        <v/>
      </c>
      <c r="D15" t="str">
        <f>orig_e_resources_table!D15</f>
        <v>http://www.csa.com/htbin/dbrng.cgi?username=paulg&amp;access=paulg20&amp;db=animal-behavior-set-c</v>
      </c>
      <c r="E15" t="str">
        <f>LOWER(IF(orig_e_resources_table!F15=1,TRUE,FALSE))</f>
        <v>false</v>
      </c>
      <c r="F15" t="str">
        <f>LOWER(IF(orig_e_resources_table!I15=1,TRUE,FALSE))</f>
        <v>true</v>
      </c>
      <c r="G15" t="str">
        <f>SUBSTITUTE(SUBSTITUTE(orig_e_resources_table!O15,CHAR(13),""),CHAR(10),"")</f>
        <v>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v>
      </c>
      <c r="I15" t="str">
        <f t="shared" si="0"/>
        <v/>
      </c>
      <c r="J15" t="s">
        <v>1200</v>
      </c>
    </row>
    <row r="16" spans="1:10" x14ac:dyDescent="0.25">
      <c r="A16">
        <v>15</v>
      </c>
      <c r="B16" t="str">
        <f>orig_e_resources_table!B16</f>
        <v>ANTE</v>
      </c>
      <c r="C16" t="str">
        <f>IF(orig_e_resources_table!C16="","",orig_e_resources_table!C16)</f>
        <v>Abstracts in New Technologies and Engineering</v>
      </c>
      <c r="D16" t="str">
        <f>orig_e_resources_table!D16</f>
        <v>http://www.csa.com/htbin/dbrng.cgi?username=paulg&amp;access=paulg20&amp;db=ante-set-c</v>
      </c>
      <c r="E16" t="str">
        <f>LOWER(IF(orig_e_resources_table!F16=1,TRUE,FALSE))</f>
        <v>false</v>
      </c>
      <c r="F16" t="str">
        <f>LOWER(IF(orig_e_resources_table!I16=1,TRUE,FALSE))</f>
        <v>true</v>
      </c>
      <c r="G16" t="str">
        <f>SUBSTITUTE(SUBSTITUTE(orig_e_resources_table!O16,CHAR(13),""),CHAR(10),"")</f>
        <v>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v>
      </c>
      <c r="I16" t="str">
        <f t="shared" si="0"/>
        <v/>
      </c>
      <c r="J16" t="s">
        <v>1200</v>
      </c>
    </row>
    <row r="17" spans="1:10" x14ac:dyDescent="0.25">
      <c r="A17">
        <v>233</v>
      </c>
      <c r="B17" t="str">
        <f>orig_e_resources_table!B234</f>
        <v>ArchiveGrid</v>
      </c>
      <c r="C17" t="str">
        <f>IF(orig_e_resources_table!C234="","",orig_e_resources_table!C234)</f>
        <v>NULL</v>
      </c>
      <c r="D17" t="str">
        <f>orig_e_resources_table!D234</f>
        <v>http://archivegrid.com</v>
      </c>
      <c r="E17" t="str">
        <f>LOWER(IF(orig_e_resources_table!F234=1,TRUE,FALSE))</f>
        <v>true</v>
      </c>
      <c r="F17" t="str">
        <f>LOWER(IF(orig_e_resources_table!I234=1,TRUE,FALSE))</f>
        <v>true</v>
      </c>
      <c r="G17" t="str">
        <f>SUBSTITUTE(SUBSTITUTE(orig_e_resources_table!O234,CHAR(13),""),CHAR(10),"")</f>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c r="I17" t="str">
        <f t="shared" si="0"/>
        <v>xxx</v>
      </c>
      <c r="J17" t="s">
        <v>1200</v>
      </c>
    </row>
    <row r="18" spans="1:10" x14ac:dyDescent="0.25">
      <c r="A18">
        <v>16</v>
      </c>
      <c r="B18" t="str">
        <f>orig_e_resources_table!B17</f>
        <v>Article First</v>
      </c>
      <c r="C18" t="str">
        <f>IF(orig_e_resources_table!C17="","",orig_e_resources_table!C17)</f>
        <v/>
      </c>
      <c r="D18" t="str">
        <f>orig_e_resources_table!D17</f>
        <v>http://newfirstsearch.oclc.org/dbname=ArticleFirst;FSIP</v>
      </c>
      <c r="E18" t="str">
        <f>LOWER(IF(orig_e_resources_table!F17=1,TRUE,FALSE))</f>
        <v>true</v>
      </c>
      <c r="F18" t="str">
        <f>LOWER(IF(orig_e_resources_table!I17=1,TRUE,FALSE))</f>
        <v>true</v>
      </c>
      <c r="G18" t="str">
        <f>SUBSTITUTE(SUBSTITUTE(orig_e_resources_table!O17,CHAR(13),""),CHAR(10),"")</f>
        <v>Coverage of over 16,000 journal titles related to business, science, humanities, social sciences, medicine, technology, and popular culture.</v>
      </c>
      <c r="I18" t="str">
        <f t="shared" si="0"/>
        <v>xxx</v>
      </c>
      <c r="J18" t="s">
        <v>1200</v>
      </c>
    </row>
    <row r="19" spans="1:10" x14ac:dyDescent="0.25">
      <c r="A19">
        <v>231</v>
      </c>
      <c r="B19" t="str">
        <f>orig_e_resources_table!B232</f>
        <v>ARTstor</v>
      </c>
      <c r="C19" t="str">
        <f>IF(orig_e_resources_table!C232="","",orig_e_resources_table!C232)</f>
        <v>NULL</v>
      </c>
      <c r="D19" t="str">
        <f>orig_e_resources_table!D232</f>
        <v>http://library.artstor.org/</v>
      </c>
      <c r="E19" t="str">
        <f>LOWER(IF(orig_e_resources_table!F232=1,TRUE,FALSE))</f>
        <v>true</v>
      </c>
      <c r="F19" t="str">
        <f>LOWER(IF(orig_e_resources_table!I232=1,TRUE,FALSE))</f>
        <v>true</v>
      </c>
      <c r="G19" t="str">
        <f>SUBSTITUTE(SUBSTITUTE(orig_e_resources_table!O232,CHAR(13),""),CHAR(10),"")</f>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c r="I19" t="str">
        <f t="shared" si="0"/>
        <v>xxx</v>
      </c>
      <c r="J19" t="s">
        <v>1200</v>
      </c>
    </row>
    <row r="20" spans="1:10" x14ac:dyDescent="0.25">
      <c r="A20">
        <v>17</v>
      </c>
      <c r="B20" t="str">
        <f>orig_e_resources_table!B18</f>
        <v>arXiv.org</v>
      </c>
      <c r="C20" t="str">
        <f>IF(orig_e_resources_table!C18="","",orig_e_resources_table!C18)</f>
        <v/>
      </c>
      <c r="D20" t="str">
        <f>orig_e_resources_table!D18</f>
        <v>http://arxiv.org/</v>
      </c>
      <c r="E20" t="str">
        <f>LOWER(IF(orig_e_resources_table!F18=1,TRUE,FALSE))</f>
        <v>true</v>
      </c>
      <c r="F20" t="str">
        <f>LOWER(IF(orig_e_resources_table!I18=1,TRUE,FALSE))</f>
        <v>false</v>
      </c>
      <c r="G20" t="str">
        <f>SUBSTITUTE(SUBSTITUTE(orig_e_resources_table!O18,CHAR(13),""),CHAR(10),"")</f>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c r="I20" t="str">
        <f t="shared" si="0"/>
        <v>xxx</v>
      </c>
      <c r="J20" t="s">
        <v>1200</v>
      </c>
    </row>
    <row r="21" spans="1:10" x14ac:dyDescent="0.25">
      <c r="A21">
        <v>18</v>
      </c>
      <c r="B21" t="str">
        <f>orig_e_resources_table!B19</f>
        <v>ASCE Database</v>
      </c>
      <c r="C21" t="str">
        <f>IF(orig_e_resources_table!C19="","",orig_e_resources_table!C19)</f>
        <v>American Society of Civil Engineers</v>
      </c>
      <c r="D21" t="str">
        <f>orig_e_resources_table!D19</f>
        <v>http://ascelibrary.org</v>
      </c>
      <c r="E21" t="str">
        <f>LOWER(IF(orig_e_resources_table!F19=1,TRUE,FALSE))</f>
        <v>true</v>
      </c>
      <c r="F21" t="str">
        <f>LOWER(IF(orig_e_resources_table!I19=1,TRUE,FALSE))</f>
        <v>true</v>
      </c>
      <c r="G21" t="str">
        <f>SUBSTITUTE(SUBSTITUTE(orig_e_resources_table!O19,CHAR(13),""),CHAR(10),"")</f>
        <v>Search for journal articles published by the ASCE from 1990 through the present.</v>
      </c>
      <c r="I21" t="str">
        <f t="shared" si="0"/>
        <v>xxx</v>
      </c>
      <c r="J21" t="s">
        <v>1200</v>
      </c>
    </row>
    <row r="22" spans="1:10" x14ac:dyDescent="0.25">
      <c r="A22">
        <v>19</v>
      </c>
      <c r="B22" t="str">
        <f>orig_e_resources_table!B20</f>
        <v>ASFA 1: Biological Sciences and Living Resources</v>
      </c>
      <c r="C22" t="str">
        <f>IF(orig_e_resources_table!C20="","",orig_e_resources_table!C20)</f>
        <v/>
      </c>
      <c r="D22" t="str">
        <f>orig_e_resources_table!D20</f>
        <v>http://www.csa.com/htbin/dbrng.cgi?username=paulg&amp;access=paulg20&amp;db=asfa1-set-c</v>
      </c>
      <c r="E22" t="str">
        <f>LOWER(IF(orig_e_resources_table!F20=1,TRUE,FALSE))</f>
        <v>false</v>
      </c>
      <c r="F22" t="str">
        <f>LOWER(IF(orig_e_resources_table!I20=1,TRUE,FALSE))</f>
        <v>true</v>
      </c>
      <c r="G22" t="str">
        <f>SUBSTITUTE(SUBSTITUTE(orig_e_resources_table!O20,CHAR(13),""),CHAR(10),"")</f>
        <v>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v>
      </c>
      <c r="I22" t="str">
        <f t="shared" si="0"/>
        <v/>
      </c>
      <c r="J22" t="s">
        <v>1200</v>
      </c>
    </row>
    <row r="23" spans="1:10" x14ac:dyDescent="0.25">
      <c r="A23">
        <v>20</v>
      </c>
      <c r="B23" t="str">
        <f>orig_e_resources_table!B21</f>
        <v>ASFA 3: Aquatic Pollution and Environmental Quality</v>
      </c>
      <c r="C23" t="str">
        <f>IF(orig_e_resources_table!C21="","",orig_e_resources_table!C21)</f>
        <v/>
      </c>
      <c r="D23" t="str">
        <f>orig_e_resources_table!D21</f>
        <v>http://www.csa.com/htbin/dbrng.cgi?username=paulg&amp;access=paulg20&amp;db=asfa3-set-c</v>
      </c>
      <c r="E23" t="str">
        <f>LOWER(IF(orig_e_resources_table!F21=1,TRUE,FALSE))</f>
        <v>false</v>
      </c>
      <c r="F23" t="str">
        <f>LOWER(IF(orig_e_resources_table!I21=1,TRUE,FALSE))</f>
        <v>true</v>
      </c>
      <c r="G23" t="str">
        <f>SUBSTITUTE(SUBSTITUTE(orig_e_resources_table!O21,CHAR(13),""),CHAR(10),"")</f>
        <v>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v>
      </c>
      <c r="I23" t="str">
        <f t="shared" si="0"/>
        <v/>
      </c>
      <c r="J23" t="s">
        <v>1200</v>
      </c>
    </row>
    <row r="24" spans="1:10" x14ac:dyDescent="0.25">
      <c r="A24">
        <v>21</v>
      </c>
      <c r="B24" t="str">
        <f>orig_e_resources_table!B22</f>
        <v>ASFA Aquaculture Abstracts</v>
      </c>
      <c r="C24" t="str">
        <f>IF(orig_e_resources_table!C22="","",orig_e_resources_table!C22)</f>
        <v/>
      </c>
      <c r="D24" t="str">
        <f>orig_e_resources_table!D22</f>
        <v>http://www.csa.com/htbin/dbrng.cgi?username=paulg&amp;access=paulg20&amp;db=aquaculture-set-c</v>
      </c>
      <c r="E24" t="str">
        <f>LOWER(IF(orig_e_resources_table!F22=1,TRUE,FALSE))</f>
        <v>false</v>
      </c>
      <c r="F24" t="str">
        <f>LOWER(IF(orig_e_resources_table!I22=1,TRUE,FALSE))</f>
        <v>true</v>
      </c>
      <c r="G24" t="str">
        <f>SUBSTITUTE(SUBSTITUTE(orig_e_resources_table!O22,CHAR(13),""),CHAR(10),"")</f>
        <v>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v>
      </c>
      <c r="I24" t="str">
        <f t="shared" si="0"/>
        <v/>
      </c>
      <c r="J24" t="s">
        <v>1200</v>
      </c>
    </row>
    <row r="25" spans="1:10" x14ac:dyDescent="0.25">
      <c r="A25">
        <v>22</v>
      </c>
      <c r="B25" t="str">
        <f>orig_e_resources_table!B23</f>
        <v>ASFA Marine Biotechnology Abstracts</v>
      </c>
      <c r="C25" t="str">
        <f>IF(orig_e_resources_table!C23="","",orig_e_resources_table!C23)</f>
        <v/>
      </c>
      <c r="D25" t="str">
        <f>orig_e_resources_table!D23</f>
        <v>http://www.csa.com/htbin/dbrng.cgi?username=paulg&amp;access=paulg20&amp;db=marine-set-c</v>
      </c>
      <c r="E25" t="str">
        <f>LOWER(IF(orig_e_resources_table!F23=1,TRUE,FALSE))</f>
        <v>false</v>
      </c>
      <c r="F25" t="str">
        <f>LOWER(IF(orig_e_resources_table!I23=1,TRUE,FALSE))</f>
        <v>true</v>
      </c>
      <c r="G25" t="str">
        <f>SUBSTITUTE(SUBSTITUTE(orig_e_resources_table!O23,CHAR(13),""),CHAR(10),"")</f>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c r="I25" t="str">
        <f t="shared" si="0"/>
        <v/>
      </c>
      <c r="J25" t="s">
        <v>1200</v>
      </c>
    </row>
    <row r="26" spans="1:10" x14ac:dyDescent="0.25">
      <c r="A26">
        <v>24</v>
      </c>
      <c r="B26" t="str">
        <f>orig_e_resources_table!B25</f>
        <v>ASM Materials Information - Alloy Center</v>
      </c>
      <c r="C26" t="str">
        <f>IF(orig_e_resources_table!C25="","",orig_e_resources_table!C25)</f>
        <v/>
      </c>
      <c r="D26" t="str">
        <f>orig_e_resources_table!D25</f>
        <v>http://products.asminternational.org/alloycenter/index.jsp</v>
      </c>
      <c r="E26" t="str">
        <f>LOWER(IF(orig_e_resources_table!F25=1,TRUE,FALSE))</f>
        <v>false</v>
      </c>
      <c r="F26" t="str">
        <f>LOWER(IF(orig_e_resources_table!I25=1,TRUE,FALSE))</f>
        <v>true</v>
      </c>
      <c r="G26" t="str">
        <f>SUBSTITUTE(SUBSTITUTE(orig_e_resources_table!O25,CHAR(13),""),CHAR(10),"")</f>
        <v>The ASM Alloy Center enables you to search in one easy step across ASM property data, performance charts, diagrams, and processing guidelines for specific metals and alloys.</v>
      </c>
      <c r="I26" t="str">
        <f t="shared" si="0"/>
        <v/>
      </c>
      <c r="J26" t="s">
        <v>1200</v>
      </c>
    </row>
    <row r="27" spans="1:10" x14ac:dyDescent="0.25">
      <c r="A27">
        <v>23</v>
      </c>
      <c r="B27" t="str">
        <f>orig_e_resources_table!B24</f>
        <v>ASM Materials Information - Handbooks</v>
      </c>
      <c r="C27" t="str">
        <f>IF(orig_e_resources_table!C24="","",orig_e_resources_table!C24)</f>
        <v/>
      </c>
      <c r="D27" t="str">
        <f>orig_e_resources_table!D24</f>
        <v>http://products.asminternational.org/hbk/index.jsp</v>
      </c>
      <c r="E27" t="str">
        <f>LOWER(IF(orig_e_resources_table!F24=1,TRUE,FALSE))</f>
        <v>false</v>
      </c>
      <c r="F27" t="str">
        <f>LOWER(IF(orig_e_resources_table!I24=1,TRUE,FALSE))</f>
        <v>true</v>
      </c>
      <c r="G27" t="str">
        <f>SUBSTITUTE(SUBSTITUTE(orig_e_resources_table!O24,CHAR(13),""),CHAR(10),"")</f>
        <v>The online edition of the ASM Handbook, 10th edition (aka Metals Handbook). This 21 volume reference collection covers the spectrum of ferrous and non-ferrous alloys, from general properties to testing, evaluation, and manufacturing techniques.</v>
      </c>
      <c r="I27" t="str">
        <f t="shared" si="0"/>
        <v/>
      </c>
      <c r="J27" t="s">
        <v>1200</v>
      </c>
    </row>
    <row r="28" spans="1:10" x14ac:dyDescent="0.25">
      <c r="A28">
        <v>25</v>
      </c>
      <c r="B28" t="str">
        <f>orig_e_resources_table!B26</f>
        <v>ASME</v>
      </c>
      <c r="C28" t="str">
        <f>IF(orig_e_resources_table!C26="","",orig_e_resources_table!C26)</f>
        <v>American Society of Mechanical Engineers</v>
      </c>
      <c r="D28" t="str">
        <f>orig_e_resources_table!D26</f>
        <v>http://asmedigitalcollection.asme.org/</v>
      </c>
      <c r="E28" t="str">
        <f>LOWER(IF(orig_e_resources_table!F26=1,TRUE,FALSE))</f>
        <v>true</v>
      </c>
      <c r="F28" t="str">
        <f>LOWER(IF(orig_e_resources_table!I26=1,TRUE,FALSE))</f>
        <v>true</v>
      </c>
      <c r="G28" t="str">
        <f>SUBSTITUTE(SUBSTITUTE(orig_e_resources_table!O26,CHAR(13),""),CHAR(10),"")</f>
        <v>Journals published by the American Society of Mechanical Engineers.</v>
      </c>
      <c r="I28" t="str">
        <f t="shared" si="0"/>
        <v>xxx</v>
      </c>
      <c r="J28" t="s">
        <v>1200</v>
      </c>
    </row>
    <row r="29" spans="1:10" x14ac:dyDescent="0.25">
      <c r="A29">
        <v>26</v>
      </c>
      <c r="B29" t="str">
        <f>orig_e_resources_table!B27</f>
        <v>Avery Index to Architectural Periodicals</v>
      </c>
      <c r="C29" t="str">
        <f>IF(orig_e_resources_table!C27="","",orig_e_resources_table!C27)</f>
        <v/>
      </c>
      <c r="D29" t="str">
        <f>orig_e_resources_table!D27</f>
        <v>http://search.proquest.com.ezproxy.gl.iit.edu/avery/advanced</v>
      </c>
      <c r="E29" t="str">
        <f>LOWER(IF(orig_e_resources_table!F27=1,TRUE,FALSE))</f>
        <v>true</v>
      </c>
      <c r="F29" t="str">
        <f>LOWER(IF(orig_e_resources_table!I27=1,TRUE,FALSE))</f>
        <v>true</v>
      </c>
      <c r="G29" t="str">
        <f>SUBSTITUTE(SUBSTITUTE(orig_e_resources_table!O27,CHAR(13),""),CHAR(10),"")</f>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c r="I29" t="str">
        <f t="shared" si="0"/>
        <v>xxx</v>
      </c>
      <c r="J29" t="s">
        <v>1200</v>
      </c>
    </row>
    <row r="30" spans="1:10" x14ac:dyDescent="0.25">
      <c r="A30">
        <v>27</v>
      </c>
      <c r="B30" t="str">
        <f>orig_e_resources_table!B28</f>
        <v>Bacteriology Abstracts (Microbiology B)</v>
      </c>
      <c r="C30" t="str">
        <f>IF(orig_e_resources_table!C28="","",orig_e_resources_table!C28)</f>
        <v/>
      </c>
      <c r="D30" t="str">
        <f>orig_e_resources_table!D28</f>
        <v>http://www.csa.com/htbin/dbrng.cgi?username=paulg&amp;access=paulg20&amp;db=bacteriology-set-c</v>
      </c>
      <c r="E30" t="str">
        <f>LOWER(IF(orig_e_resources_table!F28=1,TRUE,FALSE))</f>
        <v>false</v>
      </c>
      <c r="F30" t="str">
        <f>LOWER(IF(orig_e_resources_table!I28=1,TRUE,FALSE))</f>
        <v>true</v>
      </c>
      <c r="G30" t="str">
        <f>SUBSTITUTE(SUBSTITUTE(orig_e_resources_table!O28,CHAR(13),""),CHAR(10),"")</f>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c r="I30" t="str">
        <f t="shared" si="0"/>
        <v/>
      </c>
      <c r="J30" t="s">
        <v>1200</v>
      </c>
    </row>
    <row r="31" spans="1:10" x14ac:dyDescent="0.25">
      <c r="A31">
        <v>259</v>
      </c>
      <c r="B31" t="str">
        <f>orig_e_resources_table!B260</f>
        <v>Barron's</v>
      </c>
      <c r="C31" t="str">
        <f>IF(orig_e_resources_table!C260="","",orig_e_resources_table!C260)</f>
        <v>NULL</v>
      </c>
      <c r="D31" t="str">
        <f>orig_e_resources_table!D260</f>
        <v>http://online.barrons.com/</v>
      </c>
      <c r="E31" t="str">
        <f>LOWER(IF(orig_e_resources_table!F260=1,TRUE,FALSE))</f>
        <v>true</v>
      </c>
      <c r="F31" t="str">
        <f>LOWER(IF(orig_e_resources_table!I260=1,TRUE,FALSE))</f>
        <v>false</v>
      </c>
      <c r="G31" t="str">
        <f>SUBSTITUTE(SUBSTITUTE(orig_e_resources_table!O260,CHAR(13),""),CHAR(10),"")</f>
        <v xml:space="preserve">Barron's publishes business and financial market news. It is published weekly and includes a summary of the previous week's market-affecting items. </v>
      </c>
      <c r="I31" t="str">
        <f t="shared" si="0"/>
        <v>xxx</v>
      </c>
      <c r="J31" t="s">
        <v>1200</v>
      </c>
    </row>
    <row r="32" spans="1:10" x14ac:dyDescent="0.25">
      <c r="A32">
        <v>29</v>
      </c>
      <c r="B32" t="str">
        <f>orig_e_resources_table!B30</f>
        <v>Biological Abstracts</v>
      </c>
      <c r="C32" t="str">
        <f>IF(orig_e_resources_table!C30="","",orig_e_resources_table!C30)</f>
        <v/>
      </c>
      <c r="D32" t="str">
        <f>orig_e_resources_table!D30</f>
        <v>http://apps.webofknowledge.com/BIOABS_GeneralSearch_input.do?product=BIOABS&amp;search_mode=GeneralSearch</v>
      </c>
      <c r="E32" t="str">
        <f>LOWER(IF(orig_e_resources_table!F30=1,TRUE,FALSE))</f>
        <v>true</v>
      </c>
      <c r="F32" t="str">
        <f>LOWER(IF(orig_e_resources_table!I30=1,TRUE,FALSE))</f>
        <v>true</v>
      </c>
      <c r="G32" t="str">
        <f>SUBSTITUTE(SUBSTITUTE(orig_e_resources_table!O30,CHAR(13),""),CHAR(10),"")</f>
        <v>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v>
      </c>
      <c r="I32" t="str">
        <f t="shared" si="0"/>
        <v>xxx</v>
      </c>
      <c r="J32" t="s">
        <v>1200</v>
      </c>
    </row>
    <row r="33" spans="1:10" x14ac:dyDescent="0.25">
      <c r="A33">
        <v>30</v>
      </c>
      <c r="B33" t="str">
        <f>orig_e_resources_table!B31</f>
        <v>Biological Sciences</v>
      </c>
      <c r="C33" t="str">
        <f>IF(orig_e_resources_table!C31="","",orig_e_resources_table!C31)</f>
        <v/>
      </c>
      <c r="D33" t="str">
        <f>orig_e_resources_table!D31</f>
        <v>http://www.csa.com/htbin/dbrng.cgi?username=paulg&amp;access=paulg20&amp;db=biolclust-set-c</v>
      </c>
      <c r="E33" t="str">
        <f>LOWER(IF(orig_e_resources_table!F31=1,TRUE,FALSE))</f>
        <v>true</v>
      </c>
      <c r="F33" t="str">
        <f>LOWER(IF(orig_e_resources_table!I31=1,TRUE,FALSE))</f>
        <v>true</v>
      </c>
      <c r="G33" t="str">
        <f>SUBSTITUTE(SUBSTITUTE(orig_e_resources_table!O31,CHAR(13),""),CHAR(10),"")</f>
        <v>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v>
      </c>
      <c r="I33" t="str">
        <f t="shared" si="0"/>
        <v>xxx</v>
      </c>
      <c r="J33" t="s">
        <v>1200</v>
      </c>
    </row>
    <row r="34" spans="1:10" x14ac:dyDescent="0.25">
      <c r="A34">
        <v>31</v>
      </c>
      <c r="B34" t="str">
        <f>orig_e_resources_table!B32</f>
        <v>Biology Digest</v>
      </c>
      <c r="C34" t="str">
        <f>IF(orig_e_resources_table!C32="","",orig_e_resources_table!C32)</f>
        <v/>
      </c>
      <c r="D34" t="str">
        <f>orig_e_resources_table!D32</f>
        <v>http://www.csa.com/htbin/dbrng.cgi?username=paulg&amp;access=paulg20&amp;db=biodig-set-c</v>
      </c>
      <c r="E34" t="str">
        <f>LOWER(IF(orig_e_resources_table!F32=1,TRUE,FALSE))</f>
        <v>false</v>
      </c>
      <c r="F34" t="str">
        <f>LOWER(IF(orig_e_resources_table!I32=1,TRUE,FALSE))</f>
        <v>true</v>
      </c>
      <c r="G34" t="str">
        <f>SUBSTITUTE(SUBSTITUTE(orig_e_resources_table!O32,CHAR(13),""),CHAR(10),"")</f>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v>
      </c>
      <c r="I34" t="str">
        <f t="shared" si="0"/>
        <v/>
      </c>
      <c r="J34" t="s">
        <v>1200</v>
      </c>
    </row>
    <row r="35" spans="1:10" x14ac:dyDescent="0.25">
      <c r="A35">
        <v>32</v>
      </c>
      <c r="B35" t="str">
        <f>orig_e_resources_table!B33</f>
        <v>Biotechnology Research Abstracts</v>
      </c>
      <c r="C35" t="str">
        <f>IF(orig_e_resources_table!C33="","",orig_e_resources_table!C33)</f>
        <v/>
      </c>
      <c r="D35" t="str">
        <f>orig_e_resources_table!D33</f>
        <v>http://www.csa.com/htbin/dbrng.cgi?username=paulg&amp;access=paulg20&amp;db=biotechnology-archival-set-c</v>
      </c>
      <c r="E35" t="str">
        <f>LOWER(IF(orig_e_resources_table!F33=1,TRUE,FALSE))</f>
        <v>false</v>
      </c>
      <c r="F35" t="str">
        <f>LOWER(IF(orig_e_resources_table!I33=1,TRUE,FALSE))</f>
        <v>true</v>
      </c>
      <c r="G35" t="str">
        <f>SUBSTITUTE(SUBSTITUTE(orig_e_resources_table!O33,CHAR(13),""),CHAR(10),"")</f>
        <v>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v>
      </c>
      <c r="I35" t="str">
        <f t="shared" si="0"/>
        <v/>
      </c>
      <c r="J35" t="s">
        <v>1200</v>
      </c>
    </row>
    <row r="36" spans="1:10" x14ac:dyDescent="0.25">
      <c r="A36">
        <v>68</v>
      </c>
      <c r="B36" t="str">
        <f>orig_e_resources_table!B69</f>
        <v>Bizminer</v>
      </c>
      <c r="C36" t="str">
        <f>IF(orig_e_resources_table!C69="","",orig_e_resources_table!C69)</f>
        <v>NULL</v>
      </c>
      <c r="D36" t="str">
        <f>orig_e_resources_table!D69</f>
        <v>http://www.bizminer.com/</v>
      </c>
      <c r="E36" t="str">
        <f>LOWER(IF(orig_e_resources_table!F69=1,TRUE,FALSE))</f>
        <v>true</v>
      </c>
      <c r="F36" t="str">
        <f>LOWER(IF(orig_e_resources_table!I69=1,TRUE,FALSE))</f>
        <v>true</v>
      </c>
      <c r="G36" t="str">
        <f>SUBSTITUTE(SUBSTITUTE(orig_e_resources_table!O69,CHAR(13),""),CHAR(10),"")</f>
        <v>BizMiner produces granular industry statistical reports for over 5,000 lines of business and industry market trends. Used for establishing fair prices for business sales, creating business plans, and finding new markets.</v>
      </c>
      <c r="I36" t="str">
        <f t="shared" si="0"/>
        <v>xxx</v>
      </c>
      <c r="J36" t="s">
        <v>1200</v>
      </c>
    </row>
    <row r="37" spans="1:10" x14ac:dyDescent="0.25">
      <c r="A37">
        <v>33</v>
      </c>
      <c r="B37" t="str">
        <f>orig_e_resources_table!B34</f>
        <v>Blackwell Synergy</v>
      </c>
      <c r="C37" t="str">
        <f>IF(orig_e_resources_table!C34="","",orig_e_resources_table!C34)</f>
        <v/>
      </c>
      <c r="D37" t="str">
        <f>orig_e_resources_table!D34</f>
        <v>http://www.blackwell-synergy.com</v>
      </c>
      <c r="E37" t="str">
        <f>LOWER(IF(orig_e_resources_table!F34=1,TRUE,FALSE))</f>
        <v>false</v>
      </c>
      <c r="F37" t="str">
        <f>LOWER(IF(orig_e_resources_table!I34=1,TRUE,FALSE))</f>
        <v>true</v>
      </c>
      <c r="G37" t="str">
        <f>SUBSTITUTE(SUBSTITUTE(orig_e_resources_table!O34,CHAR(13),""),CHAR(10),"")</f>
        <v>Journals published by Blackwell Synergy.</v>
      </c>
      <c r="I37" t="str">
        <f t="shared" si="0"/>
        <v/>
      </c>
      <c r="J37" t="s">
        <v>1200</v>
      </c>
    </row>
    <row r="38" spans="1:10" x14ac:dyDescent="0.25">
      <c r="A38">
        <v>34</v>
      </c>
      <c r="B38" t="str">
        <f>orig_e_resources_table!B35</f>
        <v>Books 24x7</v>
      </c>
      <c r="C38" t="str">
        <f>IF(orig_e_resources_table!C35="","",orig_e_resources_table!C35)</f>
        <v/>
      </c>
      <c r="D38" t="str">
        <f>orig_e_resources_table!D35</f>
        <v>http://library.books24x7.com/library.asp?^B</v>
      </c>
      <c r="E38" t="str">
        <f>LOWER(IF(orig_e_resources_table!F35=1,TRUE,FALSE))</f>
        <v>true</v>
      </c>
      <c r="F38" t="str">
        <f>LOWER(IF(orig_e_resources_table!I35=1,TRUE,FALSE))</f>
        <v>true</v>
      </c>
      <c r="G38" t="str">
        <f>SUBSTITUTE(SUBSTITUTE(orig_e_resources_table!O35,CHAR(13),""),CHAR(10),"")</f>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c r="I38" t="str">
        <f t="shared" si="0"/>
        <v>xxx</v>
      </c>
      <c r="J38" t="s">
        <v>1208</v>
      </c>
    </row>
    <row r="39" spans="1:10" x14ac:dyDescent="0.25">
      <c r="A39">
        <v>217</v>
      </c>
      <c r="B39" t="str">
        <f>orig_e_resources_table!B218</f>
        <v>Business and Company Resource Center</v>
      </c>
      <c r="C39" t="str">
        <f>IF(orig_e_resources_table!C218="","",orig_e_resources_table!C218)</f>
        <v>NULL</v>
      </c>
      <c r="D39" t="str">
        <f>orig_e_resources_table!D218</f>
        <v>http://infotrac.galegroup.com/itweb/chic40381?db=BCRC</v>
      </c>
      <c r="E39" t="str">
        <f>LOWER(IF(orig_e_resources_table!F218=1,TRUE,FALSE))</f>
        <v>false</v>
      </c>
      <c r="F39" t="str">
        <f>LOWER(IF(orig_e_resources_table!I218=1,TRUE,FALSE))</f>
        <v>true</v>
      </c>
      <c r="G39" t="str">
        <f>SUBSTITUTE(SUBSTITUTE(orig_e_resources_table!O218,CHAR(13),""),CHAR(10),"")</f>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c r="I39" t="str">
        <f t="shared" si="0"/>
        <v/>
      </c>
      <c r="J39" t="s">
        <v>1200</v>
      </c>
    </row>
    <row r="40" spans="1:10" x14ac:dyDescent="0.25">
      <c r="A40">
        <v>35</v>
      </c>
      <c r="B40" t="str">
        <f>orig_e_resources_table!B36</f>
        <v>Business Insights</v>
      </c>
      <c r="C40" t="str">
        <f>IF(orig_e_resources_table!C36="","",orig_e_resources_table!C36)</f>
        <v/>
      </c>
      <c r="D40" t="str">
        <f>orig_e_resources_table!D36</f>
        <v>http://www.globalbusinessinsights.com/autologin.asp</v>
      </c>
      <c r="E40" t="str">
        <f>LOWER(IF(orig_e_resources_table!F36=1,TRUE,FALSE))</f>
        <v>false</v>
      </c>
      <c r="F40" t="str">
        <f>LOWER(IF(orig_e_resources_table!I36=1,TRUE,FALSE))</f>
        <v>true</v>
      </c>
      <c r="G40" t="str">
        <f>SUBSTITUTE(SUBSTITUTE(orig_e_resources_table!O36,CHAR(13),""),CHAR(10),"")</f>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c r="I40" t="str">
        <f t="shared" si="0"/>
        <v/>
      </c>
      <c r="J40" t="s">
        <v>1200</v>
      </c>
    </row>
    <row r="41" spans="1:10" x14ac:dyDescent="0.25">
      <c r="A41">
        <v>36</v>
      </c>
      <c r="B41" t="str">
        <f>orig_e_resources_table!B37</f>
        <v>Business Source Premier</v>
      </c>
      <c r="C41" t="str">
        <f>IF(orig_e_resources_table!C37="","",orig_e_resources_table!C37)</f>
        <v/>
      </c>
      <c r="D41" t="str">
        <f>orig_e_resources_table!D37</f>
        <v>http://search.EBSCOhost.com/login.asp?profile=web&amp;defaultdb=buh</v>
      </c>
      <c r="E41" t="str">
        <f>LOWER(IF(orig_e_resources_table!F37=1,TRUE,FALSE))</f>
        <v>true</v>
      </c>
      <c r="F41" t="str">
        <f>LOWER(IF(orig_e_resources_table!I37=1,TRUE,FALSE))</f>
        <v>true</v>
      </c>
      <c r="G41" t="str">
        <f>SUBSTITUTE(SUBSTITUTE(orig_e_resources_table!O37,CHAR(13),""),CHAR(10),"")</f>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c r="I41" t="str">
        <f t="shared" si="0"/>
        <v>xxx</v>
      </c>
      <c r="J41" t="s">
        <v>1200</v>
      </c>
    </row>
    <row r="42" spans="1:10" x14ac:dyDescent="0.25">
      <c r="A42">
        <v>37</v>
      </c>
      <c r="B42" t="str">
        <f>orig_e_resources_table!B38</f>
        <v>Calcium and Calcified Tissue Abstracts</v>
      </c>
      <c r="C42" t="str">
        <f>IF(orig_e_resources_table!C38="","",orig_e_resources_table!C38)</f>
        <v/>
      </c>
      <c r="D42" t="str">
        <f>orig_e_resources_table!D38</f>
        <v>http://www.csa.com/htbin/dbrng.cgi?username=paulg&amp;access=paulg20&amp;db=calcified-tissue-set-c</v>
      </c>
      <c r="E42" t="str">
        <f>LOWER(IF(orig_e_resources_table!F38=1,TRUE,FALSE))</f>
        <v>false</v>
      </c>
      <c r="F42" t="str">
        <f>LOWER(IF(orig_e_resources_table!I38=1,TRUE,FALSE))</f>
        <v>true</v>
      </c>
      <c r="G42" t="str">
        <f>SUBSTITUTE(SUBSTITUTE(orig_e_resources_table!O38,CHAR(13),""),CHAR(10),"")</f>
        <v>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v>
      </c>
      <c r="I42" t="str">
        <f t="shared" si="0"/>
        <v/>
      </c>
      <c r="J42" t="s">
        <v>1200</v>
      </c>
    </row>
    <row r="43" spans="1:10" x14ac:dyDescent="0.25">
      <c r="A43">
        <v>38</v>
      </c>
      <c r="B43" t="str">
        <f>orig_e_resources_table!B39</f>
        <v>Cambridge Journals Online</v>
      </c>
      <c r="C43" t="str">
        <f>IF(orig_e_resources_table!C39="","",orig_e_resources_table!C39)</f>
        <v/>
      </c>
      <c r="D43" t="str">
        <f>orig_e_resources_table!D39</f>
        <v>http://journals.cambridge.org/action/advanceSearch</v>
      </c>
      <c r="E43" t="str">
        <f>LOWER(IF(orig_e_resources_table!F39=1,TRUE,FALSE))</f>
        <v>true</v>
      </c>
      <c r="F43" t="str">
        <f>LOWER(IF(orig_e_resources_table!I39=1,TRUE,FALSE))</f>
        <v>true</v>
      </c>
      <c r="G43" t="str">
        <f>SUBSTITUTE(SUBSTITUTE(orig_e_resources_table!O39,CHAR(13),""),CHAR(10),"")</f>
        <v>Journals published by Cambridge University Press.</v>
      </c>
      <c r="I43" t="str">
        <f t="shared" si="0"/>
        <v>xxx</v>
      </c>
      <c r="J43" t="s">
        <v>1200</v>
      </c>
    </row>
    <row r="44" spans="1:10" x14ac:dyDescent="0.25">
      <c r="A44">
        <v>222</v>
      </c>
      <c r="B44" t="str">
        <f>orig_e_resources_table!B223</f>
        <v>CAMIO</v>
      </c>
      <c r="C44" t="str">
        <f>IF(orig_e_resources_table!C223="","",orig_e_resources_table!C223)</f>
        <v>Catalog of Art Museum Images Online</v>
      </c>
      <c r="D44" t="str">
        <f>orig_e_resources_table!D223</f>
        <v>http://camio.oclc.org/</v>
      </c>
      <c r="E44" t="str">
        <f>LOWER(IF(orig_e_resources_table!F223=1,TRUE,FALSE))</f>
        <v>true</v>
      </c>
      <c r="F44" t="str">
        <f>LOWER(IF(orig_e_resources_table!I223=1,TRUE,FALSE))</f>
        <v>true</v>
      </c>
      <c r="G44" t="str">
        <f>SUBSTITUTE(SUBSTITUTE(orig_e_resources_table!O223,CHAR(13),""),CHAR(10),"")</f>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c r="I44" t="str">
        <f t="shared" si="0"/>
        <v>xxx</v>
      </c>
      <c r="J44" t="s">
        <v>1202</v>
      </c>
    </row>
    <row r="45" spans="1:10" x14ac:dyDescent="0.25">
      <c r="A45">
        <v>39</v>
      </c>
      <c r="B45" t="str">
        <f>orig_e_resources_table!B40</f>
        <v>CARLI Digital Collections</v>
      </c>
      <c r="C45" t="str">
        <f>IF(orig_e_resources_table!C40="","",orig_e_resources_table!C40)</f>
        <v/>
      </c>
      <c r="D45" t="str">
        <f>orig_e_resources_table!D40</f>
        <v>http://collections.carli.illinois.edu/</v>
      </c>
      <c r="E45" t="str">
        <f>LOWER(IF(orig_e_resources_table!F40=1,TRUE,FALSE))</f>
        <v>true</v>
      </c>
      <c r="F45" t="str">
        <f>LOWER(IF(orig_e_resources_table!I40=1,TRUE,FALSE))</f>
        <v>false</v>
      </c>
      <c r="G45" t="str">
        <f>SUBSTITUTE(SUBSTITUTE(orig_e_resources_table!O40,CHAR(13),""),CHAR(10),"")</f>
        <v>Digital collections created by member libraries of the Consortium of Academic and Research libraries of Illinois (CARLI). Subjects mostly include art, photography, and Illinois history.</v>
      </c>
      <c r="I45" t="str">
        <f t="shared" si="0"/>
        <v>xxx</v>
      </c>
      <c r="J45" t="s">
        <v>1200</v>
      </c>
    </row>
    <row r="46" spans="1:10" x14ac:dyDescent="0.25">
      <c r="A46">
        <v>40</v>
      </c>
      <c r="B46" t="str">
        <f>orig_e_resources_table!B41</f>
        <v>Ceramic Abstracts/World Ceramics Abstracts</v>
      </c>
      <c r="C46" t="str">
        <f>IF(orig_e_resources_table!C41="","",orig_e_resources_table!C41)</f>
        <v/>
      </c>
      <c r="D46" t="str">
        <f>orig_e_resources_table!D41</f>
        <v>http://www.csa.com/htbin/dbrng.cgi?username=paulg&amp;access=paulg20&amp;db=wca-set-c</v>
      </c>
      <c r="E46" t="str">
        <f>LOWER(IF(orig_e_resources_table!F41=1,TRUE,FALSE))</f>
        <v>false</v>
      </c>
      <c r="F46" t="str">
        <f>LOWER(IF(orig_e_resources_table!I41=1,TRUE,FALSE))</f>
        <v>true</v>
      </c>
      <c r="G46" t="str">
        <f>SUBSTITUTE(SUBSTITUTE(orig_e_resources_table!O41,CHAR(13),""),CHAR(10),"")</f>
        <v>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v>
      </c>
      <c r="I46" t="str">
        <f t="shared" si="0"/>
        <v/>
      </c>
      <c r="J46" t="s">
        <v>1200</v>
      </c>
    </row>
    <row r="47" spans="1:10" x14ac:dyDescent="0.25">
      <c r="A47">
        <v>41</v>
      </c>
      <c r="B47" t="str">
        <f>orig_e_resources_table!B42</f>
        <v>CERN Document Server</v>
      </c>
      <c r="C47" t="str">
        <f>IF(orig_e_resources_table!C42="","",orig_e_resources_table!C42)</f>
        <v/>
      </c>
      <c r="D47" t="str">
        <f>orig_e_resources_table!D42</f>
        <v>http://cdsweb.cern.ch/</v>
      </c>
      <c r="E47" t="str">
        <f>LOWER(IF(orig_e_resources_table!F42=1,TRUE,FALSE))</f>
        <v>true</v>
      </c>
      <c r="F47" t="str">
        <f>LOWER(IF(orig_e_resources_table!I42=1,TRUE,FALSE))</f>
        <v>false</v>
      </c>
      <c r="G47" t="str">
        <f>SUBSTITUTE(SUBSTITUTE(orig_e_resources_table!O42,CHAR(13),""),CHAR(10),"")</f>
        <v>Over 800,000 bibliographic records, including 360,000 full-text documents,of interest to people working in particle physics and related areas. Covers preprints, articles, books, journals, photographs, and much more.</v>
      </c>
      <c r="I47" t="str">
        <f t="shared" si="0"/>
        <v>xxx</v>
      </c>
      <c r="J47" t="s">
        <v>1209</v>
      </c>
    </row>
    <row r="48" spans="1:10" x14ac:dyDescent="0.25">
      <c r="A48">
        <v>42</v>
      </c>
      <c r="B48" t="str">
        <f>orig_e_resources_table!B43</f>
        <v>Chemoreception Abstracts</v>
      </c>
      <c r="C48" t="str">
        <f>IF(orig_e_resources_table!C43="","",orig_e_resources_table!C43)</f>
        <v/>
      </c>
      <c r="D48" t="str">
        <f>orig_e_resources_table!D43</f>
        <v>http://www.csa.com/htbin/dbrng.cgi?username=paulg&amp;access=paulg20&amp;db=chemoreception-set-c</v>
      </c>
      <c r="E48" t="str">
        <f>LOWER(IF(orig_e_resources_table!F43=1,TRUE,FALSE))</f>
        <v>false</v>
      </c>
      <c r="F48" t="str">
        <f>LOWER(IF(orig_e_resources_table!I43=1,TRUE,FALSE))</f>
        <v>true</v>
      </c>
      <c r="G48" t="str">
        <f>SUBSTITUTE(SUBSTITUTE(orig_e_resources_table!O43,CHAR(13),""),CHAR(10),"")</f>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c r="I48" t="str">
        <f t="shared" si="0"/>
        <v/>
      </c>
      <c r="J48" t="s">
        <v>1200</v>
      </c>
    </row>
    <row r="49" spans="1:10" x14ac:dyDescent="0.25">
      <c r="A49">
        <v>236</v>
      </c>
      <c r="B49" t="str">
        <f>orig_e_resources_table!B237</f>
        <v>Chicago Building Code</v>
      </c>
      <c r="C49" t="str">
        <f>IF(orig_e_resources_table!C237="","",orig_e_resources_table!C237)</f>
        <v>NULL</v>
      </c>
      <c r="D49" t="str">
        <f>orig_e_resources_table!D237</f>
        <v>http://www.amlegal.com/library/il/chicago.shtml</v>
      </c>
      <c r="E49" t="str">
        <f>LOWER(IF(orig_e_resources_table!F237=1,TRUE,FALSE))</f>
        <v>true</v>
      </c>
      <c r="F49" t="str">
        <f>LOWER(IF(orig_e_resources_table!I237=1,TRUE,FALSE))</f>
        <v>false</v>
      </c>
      <c r="G49" t="str">
        <f>SUBSTITUTE(SUBSTITUTE(orig_e_resources_table!O237,CHAR(13),""),CHAR(10),"")</f>
        <v>This portal offers access to Chicago's Municipal Code, Chicago Zoning Ordinance and Land Use Ordinance, and Building Code.</v>
      </c>
      <c r="I49" t="str">
        <f t="shared" si="0"/>
        <v>xxx</v>
      </c>
      <c r="J49" t="s">
        <v>1210</v>
      </c>
    </row>
    <row r="50" spans="1:10" x14ac:dyDescent="0.25">
      <c r="A50">
        <v>43</v>
      </c>
      <c r="B50" t="str">
        <f>orig_e_resources_table!B44</f>
        <v>CIA World Factbook</v>
      </c>
      <c r="C50" t="str">
        <f>IF(orig_e_resources_table!C44="","",orig_e_resources_table!C44)</f>
        <v/>
      </c>
      <c r="D50" t="str">
        <f>orig_e_resources_table!D44</f>
        <v>https://www.cia.gov/library/publications/the-world-factbook/index.html</v>
      </c>
      <c r="E50" t="str">
        <f>LOWER(IF(orig_e_resources_table!F44=1,TRUE,FALSE))</f>
        <v>true</v>
      </c>
      <c r="F50" t="str">
        <f>LOWER(IF(orig_e_resources_table!I44=1,TRUE,FALSE))</f>
        <v>false</v>
      </c>
      <c r="G50" t="str">
        <f>SUBSTITUTE(SUBSTITUTE(orig_e_resources_table!O44,CHAR(13),""),CHAR(10),"")</f>
        <v>Online reference source containing basic country information, including maps, history, economics, and social studies.</v>
      </c>
      <c r="I50" t="str">
        <f t="shared" si="0"/>
        <v>xxx</v>
      </c>
      <c r="J50" t="s">
        <v>1207</v>
      </c>
    </row>
    <row r="51" spans="1:10" x14ac:dyDescent="0.25">
      <c r="A51">
        <v>46</v>
      </c>
      <c r="B51" t="str">
        <f>orig_e_resources_table!B47</f>
        <v>CIAO</v>
      </c>
      <c r="C51" t="str">
        <f>IF(orig_e_resources_table!C47="","",orig_e_resources_table!C47)</f>
        <v>Columbia International Affairs Online</v>
      </c>
      <c r="D51" t="str">
        <f>orig_e_resources_table!D47</f>
        <v>http://www.ciaonet.org/</v>
      </c>
      <c r="E51" t="str">
        <f>LOWER(IF(orig_e_resources_table!F47=1,TRUE,FALSE))</f>
        <v>true</v>
      </c>
      <c r="F51" t="str">
        <f>LOWER(IF(orig_e_resources_table!I47=1,TRUE,FALSE))</f>
        <v>true</v>
      </c>
      <c r="G51" t="str">
        <f>SUBSTITUTE(SUBSTITUTE(orig_e_resources_table!O47,CHAR(13),""),CHAR(10),"")</f>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c r="I51" t="str">
        <f t="shared" si="0"/>
        <v>xxx</v>
      </c>
      <c r="J51" t="s">
        <v>1200</v>
      </c>
    </row>
    <row r="52" spans="1:10" x14ac:dyDescent="0.25">
      <c r="A52">
        <v>44</v>
      </c>
      <c r="B52" t="str">
        <f>orig_e_resources_table!B45</f>
        <v>CiteSeer</v>
      </c>
      <c r="C52" t="str">
        <f>IF(orig_e_resources_table!C45="","",orig_e_resources_table!C45)</f>
        <v/>
      </c>
      <c r="D52" t="str">
        <f>orig_e_resources_table!D45</f>
        <v>http://citeseer.ist.psu.edu</v>
      </c>
      <c r="E52" t="str">
        <f>LOWER(IF(orig_e_resources_table!F45=1,TRUE,FALSE))</f>
        <v>true</v>
      </c>
      <c r="F52" t="str">
        <f>LOWER(IF(orig_e_resources_table!I45=1,TRUE,FALSE))</f>
        <v>false</v>
      </c>
      <c r="G52" t="str">
        <f>SUBSTITUTE(SUBSTITUTE(orig_e_resources_table!O45,CHAR(13),""),CHAR(10),"")</f>
        <v>CiteSeer is a scientific literature digital library focusing on computer and information science. CiteSeer provides citation indexing for each article, which allows you to see (a) all the references cited by the article, and (b) what other articles have cited the article.</v>
      </c>
      <c r="I52" t="str">
        <f t="shared" si="0"/>
        <v>xxx</v>
      </c>
      <c r="J52" t="s">
        <v>1200</v>
      </c>
    </row>
    <row r="53" spans="1:10" x14ac:dyDescent="0.25">
      <c r="A53">
        <v>45</v>
      </c>
      <c r="B53" t="str">
        <f>orig_e_resources_table!B46</f>
        <v>ClasePeriodica</v>
      </c>
      <c r="C53" t="str">
        <f>IF(orig_e_resources_table!C46="","",orig_e_resources_table!C46)</f>
        <v/>
      </c>
      <c r="D53" t="str">
        <f>orig_e_resources_table!D46</f>
        <v>http://firstsearch.oclc.org/fsip?dbname=ClasePeriodica</v>
      </c>
      <c r="E53" t="str">
        <f>LOWER(IF(orig_e_resources_table!F46=1,TRUE,FALSE))</f>
        <v>true</v>
      </c>
      <c r="F53" t="str">
        <f>LOWER(IF(orig_e_resources_table!I46=1,TRUE,FALSE))</f>
        <v>true</v>
      </c>
      <c r="G53" t="str">
        <f>SUBSTITUTE(SUBSTITUTE(orig_e_resources_table!O46,CHAR(13),""),CHAR(10),"")</f>
        <v>Index of Latin American journals in the sciences and humanities.</v>
      </c>
      <c r="I53" t="str">
        <f t="shared" si="0"/>
        <v>xxx</v>
      </c>
      <c r="J53" t="s">
        <v>1200</v>
      </c>
    </row>
    <row r="54" spans="1:10" x14ac:dyDescent="0.25">
      <c r="A54">
        <v>47</v>
      </c>
      <c r="B54" t="str">
        <f>orig_e_resources_table!B48</f>
        <v>Communication and Mass Media Complete</v>
      </c>
      <c r="C54" t="str">
        <f>IF(orig_e_resources_table!C48="","",orig_e_resources_table!C48)</f>
        <v/>
      </c>
      <c r="D54" t="str">
        <f>orig_e_resources_table!D48</f>
        <v>http://search.EBSCOhost.com/login.asp?profile=web&amp;defaultdb=ufh</v>
      </c>
      <c r="E54" t="str">
        <f>LOWER(IF(orig_e_resources_table!F48=1,TRUE,FALSE))</f>
        <v>true</v>
      </c>
      <c r="F54" t="str">
        <f>LOWER(IF(orig_e_resources_table!I48=1,TRUE,FALSE))</f>
        <v>true</v>
      </c>
      <c r="G54" t="str">
        <f>SUBSTITUTE(SUBSTITUTE(orig_e_resources_table!O48,CHAR(13),""),CHAR(10),"")</f>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c r="I54" t="str">
        <f t="shared" si="0"/>
        <v>xxx</v>
      </c>
      <c r="J54" t="s">
        <v>1200</v>
      </c>
    </row>
    <row r="55" spans="1:10" x14ac:dyDescent="0.25">
      <c r="A55">
        <v>48</v>
      </c>
      <c r="B55" t="str">
        <f>orig_e_resources_table!B49</f>
        <v>Compendex</v>
      </c>
      <c r="C55" t="str">
        <f>IF(orig_e_resources_table!C49="","",orig_e_resources_table!C49)</f>
        <v/>
      </c>
      <c r="D55" t="str">
        <f>orig_e_resources_table!D49</f>
        <v>http://library.iit.edu/databases/compendex.php</v>
      </c>
      <c r="E55" t="str">
        <f>LOWER(IF(orig_e_resources_table!F49=1,TRUE,FALSE))</f>
        <v>false</v>
      </c>
      <c r="F55" t="str">
        <f>LOWER(IF(orig_e_resources_table!I49=1,TRUE,FALSE))</f>
        <v>true</v>
      </c>
      <c r="G55" t="str">
        <f>SUBSTITUTE(SUBSTITUTE(orig_e_resources_table!O49,CHAR(13),""),CHAR(10),"")</f>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c r="I55" t="str">
        <f t="shared" si="0"/>
        <v/>
      </c>
      <c r="J55" t="s">
        <v>1200</v>
      </c>
    </row>
    <row r="56" spans="1:10" x14ac:dyDescent="0.25">
      <c r="A56">
        <v>49</v>
      </c>
      <c r="B56" t="str">
        <f>orig_e_resources_table!B50</f>
        <v>Composites Industry Abstracts</v>
      </c>
      <c r="C56" t="str">
        <f>IF(orig_e_resources_table!C50="","",orig_e_resources_table!C50)</f>
        <v/>
      </c>
      <c r="D56" t="str">
        <f>orig_e_resources_table!D50</f>
        <v>http://www.csa.com/htbin/dbrng.cgi?username=paulg&amp;access=paulg20&amp;db=ema-composites-set-c</v>
      </c>
      <c r="E56" t="str">
        <f>LOWER(IF(orig_e_resources_table!F50=1,TRUE,FALSE))</f>
        <v>false</v>
      </c>
      <c r="F56" t="str">
        <f>LOWER(IF(orig_e_resources_table!I50=1,TRUE,FALSE))</f>
        <v>true</v>
      </c>
      <c r="G56" t="str">
        <f>SUBSTITUTE(SUBSTITUTE(orig_e_resources_table!O50,CHAR(13),""),CHAR(10),"")</f>
        <v>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c r="I56" t="str">
        <f t="shared" si="0"/>
        <v/>
      </c>
      <c r="J56" t="s">
        <v>1200</v>
      </c>
    </row>
    <row r="57" spans="1:10" x14ac:dyDescent="0.25">
      <c r="A57">
        <v>50</v>
      </c>
      <c r="B57" t="str">
        <f>orig_e_resources_table!B51</f>
        <v>Computer and Information Systems Abstracts</v>
      </c>
      <c r="C57" t="str">
        <f>IF(orig_e_resources_table!C51="","",orig_e_resources_table!C51)</f>
        <v/>
      </c>
      <c r="D57" t="str">
        <f>orig_e_resources_table!D51</f>
        <v>http://www.csa.com/htbin/dbrng.cgi?username=paulg&amp;access=paulg20&amp;db=computer-set-c</v>
      </c>
      <c r="E57" t="str">
        <f>LOWER(IF(orig_e_resources_table!F51=1,TRUE,FALSE))</f>
        <v>false</v>
      </c>
      <c r="F57" t="str">
        <f>LOWER(IF(orig_e_resources_table!I51=1,TRUE,FALSE))</f>
        <v>true</v>
      </c>
      <c r="G57" t="str">
        <f>SUBSTITUTE(SUBSTITUTE(orig_e_resources_table!O51,CHAR(13),""),CHAR(10),"")</f>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c r="I57" t="str">
        <f t="shared" si="0"/>
        <v/>
      </c>
      <c r="J57" t="s">
        <v>1200</v>
      </c>
    </row>
    <row r="58" spans="1:10" x14ac:dyDescent="0.25">
      <c r="A58">
        <v>52</v>
      </c>
      <c r="B58" t="str">
        <f>orig_e_resources_table!B53</f>
        <v>Conference Papers Index</v>
      </c>
      <c r="C58" t="str">
        <f>IF(orig_e_resources_table!C53="","",orig_e_resources_table!C53)</f>
        <v/>
      </c>
      <c r="D58" t="str">
        <f>orig_e_resources_table!D53</f>
        <v>http://www.csa.com/htbin/dbrng.cgi?username=paulg&amp;access=paulg20&amp;db=cpi-set-c</v>
      </c>
      <c r="E58" t="str">
        <f>LOWER(IF(orig_e_resources_table!F53=1,TRUE,FALSE))</f>
        <v>true</v>
      </c>
      <c r="F58" t="str">
        <f>LOWER(IF(orig_e_resources_table!I53=1,TRUE,FALSE))</f>
        <v>true</v>
      </c>
      <c r="G58" t="str">
        <f>SUBSTITUTE(SUBSTITUTE(orig_e_resources_table!O53,CHAR(13),""),CHAR(10),"")</f>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c r="I58" t="str">
        <f t="shared" si="0"/>
        <v>xxx</v>
      </c>
      <c r="J58" t="s">
        <v>1200</v>
      </c>
    </row>
    <row r="59" spans="1:10" x14ac:dyDescent="0.25">
      <c r="A59">
        <v>53</v>
      </c>
      <c r="B59" t="str">
        <f>orig_e_resources_table!B54</f>
        <v>Contrails</v>
      </c>
      <c r="C59" t="str">
        <f>IF(orig_e_resources_table!C54="","",orig_e_resources_table!C54)</f>
        <v/>
      </c>
      <c r="D59" t="str">
        <f>orig_e_resources_table!D54</f>
        <v>http://contrails.iit.edu/</v>
      </c>
      <c r="E59" t="str">
        <f>LOWER(IF(orig_e_resources_table!F54=1,TRUE,FALSE))</f>
        <v>true</v>
      </c>
      <c r="F59" t="str">
        <f>LOWER(IF(orig_e_resources_table!I54=1,TRUE,FALSE))</f>
        <v>false</v>
      </c>
      <c r="G59" t="str">
        <f>SUBSTITUTE(SUBSTITUTE(orig_e_resources_table!O54,CHAR(13),""),CHAR(10),"")</f>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c r="I59" t="str">
        <f t="shared" si="0"/>
        <v>xxx</v>
      </c>
      <c r="J59" t="s">
        <v>1211</v>
      </c>
    </row>
    <row r="60" spans="1:10" x14ac:dyDescent="0.25">
      <c r="A60">
        <v>54</v>
      </c>
      <c r="B60" t="str">
        <f>orig_e_resources_table!B55</f>
        <v>Copper Data Center Database</v>
      </c>
      <c r="C60" t="str">
        <f>IF(orig_e_resources_table!C55="","",orig_e_resources_table!C55)</f>
        <v/>
      </c>
      <c r="D60" t="str">
        <f>orig_e_resources_table!D55</f>
        <v>http://www.csa.com/htbin/dbrng.cgi?username=paulg&amp;access=paulg20&amp;db=copper-set-c</v>
      </c>
      <c r="E60" t="str">
        <f>LOWER(IF(orig_e_resources_table!F55=1,TRUE,FALSE))</f>
        <v>false</v>
      </c>
      <c r="F60" t="str">
        <f>LOWER(IF(orig_e_resources_table!I55=1,TRUE,FALSE))</f>
        <v>true</v>
      </c>
      <c r="G60" t="str">
        <f>SUBSTITUTE(SUBSTITUTE(orig_e_resources_table!O55,CHAR(13),""),CHAR(10),"")</f>
        <v>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v>
      </c>
      <c r="I60" t="str">
        <f t="shared" si="0"/>
        <v/>
      </c>
      <c r="J60" t="s">
        <v>1200</v>
      </c>
    </row>
    <row r="61" spans="1:10" x14ac:dyDescent="0.25">
      <c r="A61">
        <v>51</v>
      </c>
      <c r="B61" t="str">
        <f>orig_e_resources_table!B52</f>
        <v>CoRR</v>
      </c>
      <c r="C61" t="str">
        <f>IF(orig_e_resources_table!C52="","",orig_e_resources_table!C52)</f>
        <v>Computing Research Repsoitory</v>
      </c>
      <c r="D61" t="str">
        <f>orig_e_resources_table!D52</f>
        <v>http://arxiv.org/corr/home</v>
      </c>
      <c r="E61" t="str">
        <f>LOWER(IF(orig_e_resources_table!F52=1,TRUE,FALSE))</f>
        <v>true</v>
      </c>
      <c r="F61" t="str">
        <f>LOWER(IF(orig_e_resources_table!I52=1,TRUE,FALSE))</f>
        <v>false</v>
      </c>
      <c r="G61" t="str">
        <f>SUBSTITUTE(SUBSTITUTE(orig_e_resources_table!O52,CHAR(13),""),CHAR(10),"")</f>
        <v>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v>
      </c>
      <c r="I61" t="str">
        <f t="shared" si="0"/>
        <v>xxx</v>
      </c>
      <c r="J61" t="s">
        <v>1212</v>
      </c>
    </row>
    <row r="62" spans="1:10" x14ac:dyDescent="0.25">
      <c r="A62">
        <v>55</v>
      </c>
      <c r="B62" t="str">
        <f>orig_e_resources_table!B56</f>
        <v>Corrosion Abstracts</v>
      </c>
      <c r="C62" t="str">
        <f>IF(orig_e_resources_table!C56="","",orig_e_resources_table!C56)</f>
        <v/>
      </c>
      <c r="D62" t="str">
        <f>orig_e_resources_table!D56</f>
        <v>http://www.csa.com/htbin/dbrng.cgi?username=paulg&amp;access=paulg20&amp;db=corrosion-set-c</v>
      </c>
      <c r="E62" t="str">
        <f>LOWER(IF(orig_e_resources_table!F56=1,TRUE,FALSE))</f>
        <v>false</v>
      </c>
      <c r="F62" t="str">
        <f>LOWER(IF(orig_e_resources_table!I56=1,TRUE,FALSE))</f>
        <v>true</v>
      </c>
      <c r="G62" t="str">
        <f>SUBSTITUTE(SUBSTITUTE(orig_e_resources_table!O56,CHAR(13),""),CHAR(10),"")</f>
        <v>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v>
      </c>
      <c r="I62" t="str">
        <f t="shared" si="0"/>
        <v/>
      </c>
      <c r="J62" t="s">
        <v>1200</v>
      </c>
    </row>
    <row r="63" spans="1:10" x14ac:dyDescent="0.25">
      <c r="A63">
        <v>221</v>
      </c>
      <c r="B63" t="str">
        <f>orig_e_resources_table!B222</f>
        <v>COS Funding Opportunities</v>
      </c>
      <c r="C63" t="str">
        <f>IF(orig_e_resources_table!C222="","",orig_e_resources_table!C222)</f>
        <v>NULL</v>
      </c>
      <c r="D63" t="str">
        <f>orig_e_resources_table!D222</f>
        <v>http://search.proquest.com/fundingops</v>
      </c>
      <c r="E63" t="str">
        <f>LOWER(IF(orig_e_resources_table!F222=1,TRUE,FALSE))</f>
        <v>false</v>
      </c>
      <c r="F63" t="str">
        <f>LOWER(IF(orig_e_resources_table!I222=1,TRUE,FALSE))</f>
        <v>true</v>
      </c>
      <c r="G63" t="str">
        <f>SUBSTITUTE(SUBSTITUTE(orig_e_resources_table!O222,CHAR(13),""),CHAR(10),"")</f>
        <v>A database of funding opportunities for grants, fellowships, prizes, etc.  Discover who's doing what -- current research activity, funding received, publications, patents, new positions and more.</v>
      </c>
      <c r="I63" t="str">
        <f t="shared" si="0"/>
        <v/>
      </c>
      <c r="J63" t="s">
        <v>1213</v>
      </c>
    </row>
    <row r="64" spans="1:10" x14ac:dyDescent="0.25">
      <c r="A64">
        <v>56</v>
      </c>
      <c r="B64" t="str">
        <f>orig_e_resources_table!B57</f>
        <v>Country Studies</v>
      </c>
      <c r="C64" t="str">
        <f>IF(orig_e_resources_table!C57="","",orig_e_resources_table!C57)</f>
        <v/>
      </c>
      <c r="D64" t="str">
        <f>orig_e_resources_table!D57</f>
        <v>http://memory.loc.gov/frd/cs/cshome.html</v>
      </c>
      <c r="E64" t="str">
        <f>LOWER(IF(orig_e_resources_table!F57=1,TRUE,FALSE))</f>
        <v>true</v>
      </c>
      <c r="F64" t="str">
        <f>LOWER(IF(orig_e_resources_table!I57=1,TRUE,FALSE))</f>
        <v>false</v>
      </c>
      <c r="G64" t="str">
        <f>SUBSTITUTE(SUBSTITUTE(orig_e_resources_table!O57,CHAR(13),""),CHAR(10),"")</f>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c r="I64" t="str">
        <f t="shared" si="0"/>
        <v>xxx</v>
      </c>
      <c r="J64" t="s">
        <v>1200</v>
      </c>
    </row>
    <row r="65" spans="1:10" x14ac:dyDescent="0.25">
      <c r="A65">
        <v>57</v>
      </c>
      <c r="B65" t="str">
        <f>orig_e_resources_table!B58</f>
        <v>CSA</v>
      </c>
      <c r="C65" t="str">
        <f>IF(orig_e_resources_table!C58="","",orig_e_resources_table!C58)</f>
        <v>Cambridge Scientific Abstracts</v>
      </c>
      <c r="D65" t="str">
        <f>orig_e_resources_table!D58</f>
        <v>http://www.csa.com/htbin/dbrng.cgi?username=paulg&amp;access=paulg20&amp;cat=default&amp;adv=1</v>
      </c>
      <c r="E65" t="str">
        <f>LOWER(IF(orig_e_resources_table!F58=1,TRUE,FALSE))</f>
        <v>false</v>
      </c>
      <c r="F65" t="str">
        <f>LOWER(IF(orig_e_resources_table!I58=1,TRUE,FALSE))</f>
        <v>true</v>
      </c>
      <c r="G65" t="str">
        <f>SUBSTITUTE(SUBSTITUTE(orig_e_resources_table!O58,CHAR(13),""),CHAR(10),"")</f>
        <v>Home page for the CSA Illumina search platform. Users can choose from over 50 research indexes to search. CSA databases cover engineering, physical and life sciences, social science, and technology.</v>
      </c>
      <c r="I65" t="str">
        <f t="shared" si="0"/>
        <v/>
      </c>
      <c r="J65" t="s">
        <v>1200</v>
      </c>
    </row>
    <row r="66" spans="1:10" x14ac:dyDescent="0.25">
      <c r="A66">
        <v>58</v>
      </c>
      <c r="B66" t="str">
        <f>orig_e_resources_table!B59</f>
        <v>CSA / ASCE Civil Engineering Abstracts</v>
      </c>
      <c r="C66" t="str">
        <f>IF(orig_e_resources_table!C59="","",orig_e_resources_table!C59)</f>
        <v/>
      </c>
      <c r="D66" t="str">
        <f>orig_e_resources_table!D59</f>
        <v>http://www.csa.com/htbin/dbrng.cgi?username=paulg&amp;access=paulg20&amp;db=civil-set-c</v>
      </c>
      <c r="E66" t="str">
        <f>LOWER(IF(orig_e_resources_table!F59=1,TRUE,FALSE))</f>
        <v>false</v>
      </c>
      <c r="F66" t="str">
        <f>LOWER(IF(orig_e_resources_table!I59=1,TRUE,FALSE))</f>
        <v>true</v>
      </c>
      <c r="G66" t="str">
        <f>SUBSTITUTE(SUBSTITUTE(orig_e_resources_table!O59,CHAR(13),""),CHAR(10),"")</f>
        <v>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v>
      </c>
      <c r="I66" t="str">
        <f t="shared" ref="I66:I129" si="1">IF(E66="true","xxx","")</f>
        <v/>
      </c>
      <c r="J66" t="s">
        <v>1200</v>
      </c>
    </row>
    <row r="67" spans="1:10" x14ac:dyDescent="0.25">
      <c r="A67">
        <v>59</v>
      </c>
      <c r="B67" t="str">
        <f>orig_e_resources_table!B60</f>
        <v>CSA Engineering Research Database</v>
      </c>
      <c r="C67" t="str">
        <f>IF(orig_e_resources_table!C60="","",orig_e_resources_table!C60)</f>
        <v/>
      </c>
      <c r="D67" t="str">
        <f>orig_e_resources_table!D60</f>
        <v>http://www.csa.com/htbin/dbrng.cgi?username=paulg&amp;access=paulg20&amp;db=engineering-set-c</v>
      </c>
      <c r="E67" t="str">
        <f>LOWER(IF(orig_e_resources_table!F60=1,TRUE,FALSE))</f>
        <v>false</v>
      </c>
      <c r="F67" t="str">
        <f>LOWER(IF(orig_e_resources_table!I60=1,TRUE,FALSE))</f>
        <v>true</v>
      </c>
      <c r="G67" t="str">
        <f>SUBSTITUTE(SUBSTITUTE(orig_e_resources_table!O60,CHAR(13),""),CHAR(10),"")</f>
        <v>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v>
      </c>
      <c r="I67" t="str">
        <f t="shared" si="1"/>
        <v/>
      </c>
      <c r="J67" t="s">
        <v>1200</v>
      </c>
    </row>
    <row r="68" spans="1:10" x14ac:dyDescent="0.25">
      <c r="A68">
        <v>60</v>
      </c>
      <c r="B68" t="str">
        <f>orig_e_resources_table!B61</f>
        <v>CSA High Technology Research Database with Aerospace</v>
      </c>
      <c r="C68" t="str">
        <f>IF(orig_e_resources_table!C61="","",orig_e_resources_table!C61)</f>
        <v/>
      </c>
      <c r="D68" t="str">
        <f>orig_e_resources_table!D61</f>
        <v>http://www.csa.com/htbin/dbrng.cgi?username=paulg&amp;access=paulg20&amp;db=hightech-set-c</v>
      </c>
      <c r="E68" t="str">
        <f>LOWER(IF(orig_e_resources_table!F61=1,TRUE,FALSE))</f>
        <v>false</v>
      </c>
      <c r="F68" t="str">
        <f>LOWER(IF(orig_e_resources_table!I61=1,TRUE,FALSE))</f>
        <v>true</v>
      </c>
      <c r="G68" t="str">
        <f>SUBSTITUTE(SUBSTITUTE(orig_e_resources_table!O61,CHAR(13),""),CHAR(10),"")</f>
        <v>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v>
      </c>
      <c r="I68" t="str">
        <f t="shared" si="1"/>
        <v/>
      </c>
      <c r="J68" t="s">
        <v>1200</v>
      </c>
    </row>
    <row r="69" spans="1:10" x14ac:dyDescent="0.25">
      <c r="A69">
        <v>61</v>
      </c>
      <c r="B69" t="str">
        <f>orig_e_resources_table!B62</f>
        <v>CSA Materials Research Database with METADEX</v>
      </c>
      <c r="C69" t="str">
        <f>IF(orig_e_resources_table!C62="","",orig_e_resources_table!C62)</f>
        <v/>
      </c>
      <c r="D69" t="str">
        <f>orig_e_resources_table!D62</f>
        <v>http://www.csa.com/htbin/dbrng.cgi?username=paulg&amp;access=paulg20&amp;db=materials-set-c</v>
      </c>
      <c r="E69" t="str">
        <f>LOWER(IF(orig_e_resources_table!F62=1,TRUE,FALSE))</f>
        <v>false</v>
      </c>
      <c r="F69" t="str">
        <f>LOWER(IF(orig_e_resources_table!I62=1,TRUE,FALSE))</f>
        <v>true</v>
      </c>
      <c r="G69" t="str">
        <f>SUBSTITUTE(SUBSTITUTE(orig_e_resources_table!O62,CHAR(13),""),CHAR(10),"")</f>
        <v>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v>
      </c>
      <c r="I69" t="str">
        <f t="shared" si="1"/>
        <v/>
      </c>
      <c r="J69" t="s">
        <v>1200</v>
      </c>
    </row>
    <row r="70" spans="1:10" x14ac:dyDescent="0.25">
      <c r="A70">
        <v>62</v>
      </c>
      <c r="B70" t="str">
        <f>orig_e_resources_table!B63</f>
        <v>CSA Neurosciences Abstracts</v>
      </c>
      <c r="C70" t="str">
        <f>IF(orig_e_resources_table!C63="","",orig_e_resources_table!C63)</f>
        <v/>
      </c>
      <c r="D70" t="str">
        <f>orig_e_resources_table!D63</f>
        <v>http://www.csa.com/htbin/dbrng.cgi?username=paulg&amp;access=paulg20&amp;db=neurosciences-set-c</v>
      </c>
      <c r="E70" t="str">
        <f>LOWER(IF(orig_e_resources_table!F63=1,TRUE,FALSE))</f>
        <v>false</v>
      </c>
      <c r="F70" t="str">
        <f>LOWER(IF(orig_e_resources_table!I63=1,TRUE,FALSE))</f>
        <v>true</v>
      </c>
      <c r="G70" t="str">
        <f>SUBSTITUTE(SUBSTITUTE(orig_e_resources_table!O63,CHAR(13),""),CHAR(10),"")</f>
        <v>This database covers all aspects of vertebrate and invertebrate neuroscience.</v>
      </c>
      <c r="I70" t="str">
        <f t="shared" si="1"/>
        <v/>
      </c>
      <c r="J70" t="s">
        <v>1200</v>
      </c>
    </row>
    <row r="71" spans="1:10" x14ac:dyDescent="0.25">
      <c r="A71">
        <v>63</v>
      </c>
      <c r="B71" t="str">
        <f>orig_e_resources_table!B64</f>
        <v>CSA Technology Research Database</v>
      </c>
      <c r="C71" t="str">
        <f>IF(orig_e_resources_table!C64="","",orig_e_resources_table!C64)</f>
        <v/>
      </c>
      <c r="D71" t="str">
        <f>orig_e_resources_table!D64</f>
        <v>http://www.csa.com/htbin/dbrng.cgi?username=paulg&amp;amp;access=paulg20&amp;amp;db=techresearch-set-c</v>
      </c>
      <c r="E71" t="str">
        <f>LOWER(IF(orig_e_resources_table!F64=1,TRUE,FALSE))</f>
        <v>true</v>
      </c>
      <c r="F71" t="str">
        <f>LOWER(IF(orig_e_resources_table!I64=1,TRUE,FALSE))</f>
        <v>true</v>
      </c>
      <c r="G71" t="str">
        <f>SUBSTITUTE(SUBSTITUTE(orig_e_resources_table!O64,CHAR(13),""),CHAR(10),"")</f>
        <v>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v>
      </c>
      <c r="I71" t="str">
        <f t="shared" si="1"/>
        <v>xxx</v>
      </c>
      <c r="J71" t="s">
        <v>1200</v>
      </c>
    </row>
    <row r="72" spans="1:10" x14ac:dyDescent="0.25">
      <c r="A72">
        <v>64</v>
      </c>
      <c r="B72" t="str">
        <f>orig_e_resources_table!B65</f>
        <v>CumInCAD</v>
      </c>
      <c r="C72" t="str">
        <f>IF(orig_e_resources_table!C65="","",orig_e_resources_table!C65)</f>
        <v/>
      </c>
      <c r="D72" t="str">
        <f>orig_e_resources_table!D65</f>
        <v>http://cumincad.scix.net</v>
      </c>
      <c r="E72" t="str">
        <f>LOWER(IF(orig_e_resources_table!F65=1,TRUE,FALSE))</f>
        <v>true</v>
      </c>
      <c r="F72" t="str">
        <f>LOWER(IF(orig_e_resources_table!I65=1,TRUE,FALSE))</f>
        <v>true</v>
      </c>
      <c r="G72" t="str">
        <f>SUBSTITUTE(SUBSTITUTE(orig_e_resources_table!O65,CHAR(13),""),CHAR(10),"")</f>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c r="I72" t="str">
        <f t="shared" si="1"/>
        <v>xxx</v>
      </c>
      <c r="J72" t="s">
        <v>1200</v>
      </c>
    </row>
    <row r="73" spans="1:10" x14ac:dyDescent="0.25">
      <c r="A73">
        <v>65</v>
      </c>
      <c r="B73" t="str">
        <f>orig_e_resources_table!B66</f>
        <v>DARTS</v>
      </c>
      <c r="C73" t="str">
        <f>IF(orig_e_resources_table!C66="","",orig_e_resources_table!C66)</f>
        <v>Depository Access to Reports, Technical and Scientific</v>
      </c>
      <c r="D73" t="str">
        <f>orig_e_resources_table!D66</f>
        <v>http://www.gl.iit.edu/govdocs/internet/darts.htm</v>
      </c>
      <c r="E73" t="str">
        <f>LOWER(IF(orig_e_resources_table!F66=1,TRUE,FALSE))</f>
        <v>true</v>
      </c>
      <c r="F73" t="str">
        <f>LOWER(IF(orig_e_resources_table!I66=1,TRUE,FALSE))</f>
        <v>true</v>
      </c>
      <c r="G73" t="str">
        <f>SUBSTITUTE(SUBSTITUTE(orig_e_resources_table!O66,CHAR(13),""),CHAR(10),"")</f>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c r="I73" t="str">
        <f t="shared" si="1"/>
        <v>xxx</v>
      </c>
      <c r="J73" t="s">
        <v>1200</v>
      </c>
    </row>
    <row r="74" spans="1:10" x14ac:dyDescent="0.25">
      <c r="A74">
        <v>224</v>
      </c>
      <c r="B74" t="str">
        <f>orig_e_resources_table!B225</f>
        <v>David Rumsey Historical Map Collection</v>
      </c>
      <c r="C74" t="str">
        <f>IF(orig_e_resources_table!C225="","",orig_e_resources_table!C225)</f>
        <v>NULL</v>
      </c>
      <c r="D74" t="str">
        <f>orig_e_resources_table!D225</f>
        <v>http://www.davidrumsey.com/</v>
      </c>
      <c r="E74" t="str">
        <f>LOWER(IF(orig_e_resources_table!F225=1,TRUE,FALSE))</f>
        <v>true</v>
      </c>
      <c r="F74" t="str">
        <f>LOWER(IF(orig_e_resources_table!I225=1,TRUE,FALSE))</f>
        <v>false</v>
      </c>
      <c r="G74" t="str">
        <f>SUBSTITUTE(SUBSTITUTE(orig_e_resources_table!O225,CHAR(13),""),CHAR(10),"")</f>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c r="I74" t="str">
        <f t="shared" si="1"/>
        <v>xxx</v>
      </c>
      <c r="J74" t="s">
        <v>1200</v>
      </c>
    </row>
    <row r="75" spans="1:10" x14ac:dyDescent="0.25">
      <c r="A75">
        <v>66</v>
      </c>
      <c r="B75" t="str">
        <f>orig_e_resources_table!B67</f>
        <v>Dissertations and Theses</v>
      </c>
      <c r="C75" t="str">
        <f>IF(orig_e_resources_table!C67="","",orig_e_resources_table!C67)</f>
        <v/>
      </c>
      <c r="D75" t="str">
        <f>orig_e_resources_table!D67</f>
        <v>http://search.proquest.com/pqdtft</v>
      </c>
      <c r="E75" t="str">
        <f>LOWER(IF(orig_e_resources_table!F67=1,TRUE,FALSE))</f>
        <v>true</v>
      </c>
      <c r="F75" t="str">
        <f>LOWER(IF(orig_e_resources_table!I67=1,TRUE,FALSE))</f>
        <v>true</v>
      </c>
      <c r="G75" t="str">
        <f>SUBSTITUTE(SUBSTITUTE(orig_e_resources_table!O67,CHAR(13),""),CHAR(10),"")</f>
        <v>Online database of doctoral dissertations and master's theses. Full-text is available for many items, and ordering/purchasing information is included for those items with no full-text.</v>
      </c>
      <c r="I75" t="str">
        <f t="shared" si="1"/>
        <v>xxx</v>
      </c>
      <c r="J75" t="s">
        <v>1214</v>
      </c>
    </row>
    <row r="76" spans="1:10" x14ac:dyDescent="0.25">
      <c r="A76">
        <v>67</v>
      </c>
      <c r="B76" t="str">
        <f>orig_e_resources_table!B68</f>
        <v>Dissertations and Theses at IIT</v>
      </c>
      <c r="C76" t="str">
        <f>IF(orig_e_resources_table!C68="","",orig_e_resources_table!C68)</f>
        <v/>
      </c>
      <c r="D76" t="str">
        <f>orig_e_resources_table!D68</f>
        <v>http://search.proquest.com/pqdtlocal</v>
      </c>
      <c r="E76" t="str">
        <f>LOWER(IF(orig_e_resources_table!F68=1,TRUE,FALSE))</f>
        <v>true</v>
      </c>
      <c r="F76" t="str">
        <f>LOWER(IF(orig_e_resources_table!I68=1,TRUE,FALSE))</f>
        <v>true</v>
      </c>
      <c r="G76" t="str">
        <f>SUBSTITUTE(SUBSTITUTE(orig_e_resources_table!O68,CHAR(13),""),CHAR(10),"")</f>
        <v>Subset of Dissertations and Theses, an online database of doctoral dissertations, featuring work by IIT students. Full-text is available for many items, and ordering/purchasing information is included for those items with no full-text.</v>
      </c>
      <c r="I76" t="str">
        <f t="shared" si="1"/>
        <v>xxx</v>
      </c>
      <c r="J76" t="s">
        <v>1214</v>
      </c>
    </row>
    <row r="77" spans="1:10" x14ac:dyDescent="0.25">
      <c r="A77">
        <v>168</v>
      </c>
      <c r="B77" t="str">
        <f>orig_e_resources_table!B169</f>
        <v>DTIC Online: Public Technical Reports</v>
      </c>
      <c r="C77" t="str">
        <f>IF(orig_e_resources_table!C169="","",orig_e_resources_table!C169)</f>
        <v/>
      </c>
      <c r="D77" t="str">
        <f>orig_e_resources_table!D169</f>
        <v>http://www.dtic.mil/dtic/search/tr/</v>
      </c>
      <c r="E77" t="str">
        <f>LOWER(IF(orig_e_resources_table!F169=1,TRUE,FALSE))</f>
        <v>true</v>
      </c>
      <c r="F77" t="str">
        <f>LOWER(IF(orig_e_resources_table!I169=1,TRUE,FALSE))</f>
        <v>false</v>
      </c>
      <c r="G77" t="str">
        <f>SUBSTITUTE(SUBSTITUTE(orig_e_resources_table!O169,CHAR(13),""),CHAR(10),"")</f>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v>
      </c>
      <c r="I77" t="str">
        <f t="shared" si="1"/>
        <v>xxx</v>
      </c>
      <c r="J77" t="s">
        <v>1215</v>
      </c>
    </row>
    <row r="78" spans="1:10" x14ac:dyDescent="0.25">
      <c r="A78">
        <v>69</v>
      </c>
      <c r="B78" t="str">
        <f>orig_e_resources_table!B70</f>
        <v>Earthquake Engineering Abstracts</v>
      </c>
      <c r="C78" t="str">
        <f>IF(orig_e_resources_table!C70="","",orig_e_resources_table!C70)</f>
        <v/>
      </c>
      <c r="D78" t="str">
        <f>orig_e_resources_table!D70</f>
        <v>http://www.csa.com/htbin/dbrng.cgi?username=paulg&amp;access=paulg20&amp;db=earthquake-set-c</v>
      </c>
      <c r="E78" t="str">
        <f>LOWER(IF(orig_e_resources_table!F70=1,TRUE,FALSE))</f>
        <v>false</v>
      </c>
      <c r="F78" t="str">
        <f>LOWER(IF(orig_e_resources_table!I70=1,TRUE,FALSE))</f>
        <v>true</v>
      </c>
      <c r="G78" t="str">
        <f>SUBSTITUTE(SUBSTITUTE(orig_e_resources_table!O70,CHAR(13),""),CHAR(10),"")</f>
        <v>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v>
      </c>
      <c r="I78" t="str">
        <f t="shared" si="1"/>
        <v/>
      </c>
      <c r="J78" t="s">
        <v>1200</v>
      </c>
    </row>
    <row r="79" spans="1:10" x14ac:dyDescent="0.25">
      <c r="A79">
        <v>260</v>
      </c>
      <c r="B79" t="str">
        <f>orig_e_resources_table!B261</f>
        <v>Earthquake Engineering Online Archive</v>
      </c>
      <c r="C79" t="str">
        <f>IF(orig_e_resources_table!C261="","",orig_e_resources_table!C261)</f>
        <v>EEOA</v>
      </c>
      <c r="D79" t="str">
        <f>orig_e_resources_table!D261</f>
        <v>http://nisee.berkeley.edu/elibrary/</v>
      </c>
      <c r="E79" t="str">
        <f>LOWER(IF(orig_e_resources_table!F261=1,TRUE,FALSE))</f>
        <v>true</v>
      </c>
      <c r="F79" t="str">
        <f>LOWER(IF(orig_e_resources_table!I261=1,TRUE,FALSE))</f>
        <v>false</v>
      </c>
      <c r="G79" t="str">
        <f>SUBSTITUTE(SUBSTITUTE(orig_e_resources_table!O261,CHAR(13),""),CHAR(10),"")</f>
        <v>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v>
      </c>
      <c r="I79" t="str">
        <f t="shared" si="1"/>
        <v>xxx</v>
      </c>
      <c r="J79" t="s">
        <v>1200</v>
      </c>
    </row>
    <row r="80" spans="1:10" x14ac:dyDescent="0.25">
      <c r="A80">
        <v>144</v>
      </c>
      <c r="B80" t="str">
        <f>orig_e_resources_table!B145</f>
        <v>eBook Collection (EBSCOhost)</v>
      </c>
      <c r="C80" t="str">
        <f>IF(orig_e_resources_table!C145="","",orig_e_resources_table!C145)</f>
        <v/>
      </c>
      <c r="D80" t="str">
        <f>orig_e_resources_table!D145</f>
        <v>http://search.EBSCOhost.com/login.asp?profile=web&amp;defaultdb=nlebk</v>
      </c>
      <c r="E80" t="str">
        <f>LOWER(IF(orig_e_resources_table!F145=1,TRUE,FALSE))</f>
        <v>true</v>
      </c>
      <c r="F80" t="str">
        <f>LOWER(IF(orig_e_resources_table!I145=1,TRUE,FALSE))</f>
        <v>true</v>
      </c>
      <c r="G80" t="str">
        <f>SUBSTITUTE(SUBSTITUTE(orig_e_resources_table!O145,CHAR(13),""),CHAR(10),"")</f>
        <v>This database contains almost 3,400 electronic books made available through the Illinois Digital Academic Library (IDAL).</v>
      </c>
      <c r="I80" t="str">
        <f t="shared" si="1"/>
        <v>xxx</v>
      </c>
      <c r="J80" t="s">
        <v>1208</v>
      </c>
    </row>
    <row r="81" spans="1:10" x14ac:dyDescent="0.25">
      <c r="A81">
        <v>70</v>
      </c>
      <c r="B81" t="str">
        <f>orig_e_resources_table!B71</f>
        <v>ECO</v>
      </c>
      <c r="C81" t="str">
        <f>IF(orig_e_resources_table!C71="","",orig_e_resources_table!C71)</f>
        <v>Electronic Collections Online</v>
      </c>
      <c r="D81" t="str">
        <f>orig_e_resources_table!D71</f>
        <v>http://newfirstsearch.oclc.org/dbname=ECO;FSIP</v>
      </c>
      <c r="E81" t="str">
        <f>LOWER(IF(orig_e_resources_table!F71=1,TRUE,FALSE))</f>
        <v>true</v>
      </c>
      <c r="F81" t="str">
        <f>LOWER(IF(orig_e_resources_table!I71=1,TRUE,FALSE))</f>
        <v>true</v>
      </c>
      <c r="G81" t="str">
        <f>SUBSTITUTE(SUBSTITUTE(orig_e_resources_table!O71,CHAR(13),""),CHAR(10),"")</f>
        <v>An OCLC collection of scholarly journals.</v>
      </c>
      <c r="I81" t="str">
        <f t="shared" si="1"/>
        <v>xxx</v>
      </c>
      <c r="J81" t="s">
        <v>1200</v>
      </c>
    </row>
    <row r="82" spans="1:10" x14ac:dyDescent="0.25">
      <c r="A82">
        <v>71</v>
      </c>
      <c r="B82" t="str">
        <f>orig_e_resources_table!B72</f>
        <v>Ecology Abstracts</v>
      </c>
      <c r="C82" t="str">
        <f>IF(orig_e_resources_table!C72="","",orig_e_resources_table!C72)</f>
        <v/>
      </c>
      <c r="D82" t="str">
        <f>orig_e_resources_table!D72</f>
        <v>http://www.csa.com/htbin/dbrng.cgi?username=paulg&amp;access=paulg20&amp;db=ecology-set-c</v>
      </c>
      <c r="E82" t="str">
        <f>LOWER(IF(orig_e_resources_table!F72=1,TRUE,FALSE))</f>
        <v>false</v>
      </c>
      <c r="F82" t="str">
        <f>LOWER(IF(orig_e_resources_table!I72=1,TRUE,FALSE))</f>
        <v>true</v>
      </c>
      <c r="G82" t="str">
        <f>SUBSTITUTE(SUBSTITUTE(orig_e_resources_table!O72,CHAR(13),""),CHAR(10),"")</f>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c r="I82" t="str">
        <f t="shared" si="1"/>
        <v/>
      </c>
      <c r="J82" t="s">
        <v>1200</v>
      </c>
    </row>
    <row r="83" spans="1:10" x14ac:dyDescent="0.25">
      <c r="A83">
        <v>72</v>
      </c>
      <c r="B83" t="str">
        <f>orig_e_resources_table!B73</f>
        <v>EconLit</v>
      </c>
      <c r="C83" t="str">
        <f>IF(orig_e_resources_table!C73="","",orig_e_resources_table!C73)</f>
        <v/>
      </c>
      <c r="D83" t="str">
        <f>orig_e_resources_table!D73</f>
        <v>http://search.EBSCOhost.com/login.asp?profile=web&amp;defaultdb=ecn</v>
      </c>
      <c r="E83" t="str">
        <f>LOWER(IF(orig_e_resources_table!F73=1,TRUE,FALSE))</f>
        <v>true</v>
      </c>
      <c r="F83" t="str">
        <f>LOWER(IF(orig_e_resources_table!I73=1,TRUE,FALSE))</f>
        <v>true</v>
      </c>
      <c r="G83" t="str">
        <f>SUBSTITUTE(SUBSTITUTE(orig_e_resources_table!O73,CHAR(13),""),CHAR(10),"")</f>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c r="I83" t="str">
        <f t="shared" si="1"/>
        <v>xxx</v>
      </c>
      <c r="J83" t="s">
        <v>1200</v>
      </c>
    </row>
    <row r="84" spans="1:10" x14ac:dyDescent="0.25">
      <c r="A84">
        <v>73</v>
      </c>
      <c r="B84" t="str">
        <f>orig_e_resources_table!B74</f>
        <v>Eighteenth Century Collections Online</v>
      </c>
      <c r="C84" t="str">
        <f>IF(orig_e_resources_table!C74="","",orig_e_resources_table!C74)</f>
        <v/>
      </c>
      <c r="D84" t="str">
        <f>orig_e_resources_table!D74</f>
        <v>http://find.galegroup.com/menu/start?userGroupName=chic40381&amp;prod=ECCO</v>
      </c>
      <c r="E84" t="str">
        <f>LOWER(IF(orig_e_resources_table!F74=1,TRUE,FALSE))</f>
        <v>true</v>
      </c>
      <c r="F84" t="str">
        <f>LOWER(IF(orig_e_resources_table!I74=1,TRUE,FALSE))</f>
        <v>false</v>
      </c>
      <c r="G84" t="str">
        <f>SUBSTITUTE(SUBSTITUTE(orig_e_resources_table!O74,CHAR(13),""),CHAR(10),"")</f>
        <v>Online collection of 150,000 books published during the 18th century, covering the fields of history, literature, religion, law, fine arts, science and more.</v>
      </c>
      <c r="I84" t="str">
        <f t="shared" si="1"/>
        <v>xxx</v>
      </c>
      <c r="J84" t="s">
        <v>1200</v>
      </c>
    </row>
    <row r="85" spans="1:10" x14ac:dyDescent="0.25">
      <c r="A85">
        <v>74</v>
      </c>
      <c r="B85" t="str">
        <f>orig_e_resources_table!B75</f>
        <v>EIS</v>
      </c>
      <c r="C85" t="str">
        <f>IF(orig_e_resources_table!C75="","",orig_e_resources_table!C75)</f>
        <v>Digests of Environmental Impact Statements</v>
      </c>
      <c r="D85" t="str">
        <f>orig_e_resources_table!D75</f>
        <v>http://www.csa.com/htbin/dbrng.cgi?username=paulg&amp;access=paulg20&amp;db=eis-set-c</v>
      </c>
      <c r="E85" t="str">
        <f>LOWER(IF(orig_e_resources_table!F75=1,TRUE,FALSE))</f>
        <v>false</v>
      </c>
      <c r="F85" t="str">
        <f>LOWER(IF(orig_e_resources_table!I75=1,TRUE,FALSE))</f>
        <v>true</v>
      </c>
      <c r="G85" t="str">
        <f>SUBSTITUTE(SUBSTITUTE(orig_e_resources_table!O75,CHAR(13),""),CHAR(10),"")</f>
        <v>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v>
      </c>
      <c r="I85" t="str">
        <f t="shared" si="1"/>
        <v/>
      </c>
      <c r="J85" t="s">
        <v>1200</v>
      </c>
    </row>
    <row r="86" spans="1:10" x14ac:dyDescent="0.25">
      <c r="A86">
        <v>75</v>
      </c>
      <c r="B86" t="str">
        <f>orig_e_resources_table!B76</f>
        <v>Electronics and Communications Abstracts</v>
      </c>
      <c r="C86" t="str">
        <f>IF(orig_e_resources_table!C76="","",orig_e_resources_table!C76)</f>
        <v/>
      </c>
      <c r="D86" t="str">
        <f>orig_e_resources_table!D76</f>
        <v>http://www.csa.com/htbin/dbrng.cgi?username=paulg&amp;access=paulg20&amp;db=electronics-set-c</v>
      </c>
      <c r="E86" t="str">
        <f>LOWER(IF(orig_e_resources_table!F76=1,TRUE,FALSE))</f>
        <v>false</v>
      </c>
      <c r="F86" t="str">
        <f>LOWER(IF(orig_e_resources_table!I76=1,TRUE,FALSE))</f>
        <v>true</v>
      </c>
      <c r="G86" t="str">
        <f>SUBSTITUTE(SUBSTITUTE(orig_e_resources_table!O76,CHAR(13),""),CHAR(10),"")</f>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c r="I86" t="str">
        <f t="shared" si="1"/>
        <v/>
      </c>
      <c r="J86" t="s">
        <v>1200</v>
      </c>
    </row>
    <row r="87" spans="1:10" x14ac:dyDescent="0.25">
      <c r="A87">
        <v>76</v>
      </c>
      <c r="B87" t="str">
        <f>orig_e_resources_table!B77</f>
        <v>Emporis</v>
      </c>
      <c r="C87" t="str">
        <f>IF(orig_e_resources_table!C77="","",orig_e_resources_table!C77)</f>
        <v/>
      </c>
      <c r="D87" t="str">
        <f>orig_e_resources_table!D77</f>
        <v>http://research.emporis.com/</v>
      </c>
      <c r="E87" t="str">
        <f>LOWER(IF(orig_e_resources_table!F77=1,TRUE,FALSE))</f>
        <v>false</v>
      </c>
      <c r="F87" t="str">
        <f>LOWER(IF(orig_e_resources_table!I77=1,TRUE,FALSE))</f>
        <v>true</v>
      </c>
      <c r="G87" t="str">
        <f>SUBSTITUTE(SUBSTITUTE(orig_e_resources_table!O77,CHAR(13),""),CHAR(10),"")</f>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c r="I87" t="str">
        <f t="shared" si="1"/>
        <v/>
      </c>
      <c r="J87" t="s">
        <v>1200</v>
      </c>
    </row>
    <row r="88" spans="1:10" x14ac:dyDescent="0.25">
      <c r="A88">
        <v>77</v>
      </c>
      <c r="B88" t="str">
        <f>orig_e_resources_table!B78</f>
        <v>Endocrinology Abstracts</v>
      </c>
      <c r="C88" t="str">
        <f>IF(orig_e_resources_table!C78="","",orig_e_resources_table!C78)</f>
        <v/>
      </c>
      <c r="D88" t="str">
        <f>orig_e_resources_table!D78</f>
        <v>http://www.csa.com/htbin/dbrng.cgi?username=paulg&amp;access=paulg20&amp;db=endocrinology-archival-set-c</v>
      </c>
      <c r="E88" t="str">
        <f>LOWER(IF(orig_e_resources_table!F78=1,TRUE,FALSE))</f>
        <v>false</v>
      </c>
      <c r="F88" t="str">
        <f>LOWER(IF(orig_e_resources_table!I78=1,TRUE,FALSE))</f>
        <v>true</v>
      </c>
      <c r="G88" t="str">
        <f>SUBSTITUTE(SUBSTITUTE(orig_e_resources_table!O78,CHAR(13),""),CHAR(10),"")</f>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c r="I88" t="str">
        <f t="shared" si="1"/>
        <v/>
      </c>
      <c r="J88" t="s">
        <v>1200</v>
      </c>
    </row>
    <row r="89" spans="1:10" x14ac:dyDescent="0.25">
      <c r="A89">
        <v>78</v>
      </c>
      <c r="B89" t="str">
        <f>orig_e_resources_table!B79</f>
        <v>Energy Citations Database</v>
      </c>
      <c r="C89" t="str">
        <f>IF(orig_e_resources_table!C79="","",orig_e_resources_table!C79)</f>
        <v/>
      </c>
      <c r="D89" t="str">
        <f>orig_e_resources_table!D79</f>
        <v>http://www.osti.gov/energycitations/basicsearch.jsp</v>
      </c>
      <c r="E89" t="str">
        <f>LOWER(IF(orig_e_resources_table!F79=1,TRUE,FALSE))</f>
        <v>true</v>
      </c>
      <c r="F89" t="str">
        <f>LOWER(IF(orig_e_resources_table!I79=1,TRUE,FALSE))</f>
        <v>false</v>
      </c>
      <c r="G89" t="str">
        <f>SUBSTITUTE(SUBSTITUTE(orig_e_resources_table!O79,CHAR(13),""),CHAR(10),"")</f>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c r="I89" t="str">
        <f t="shared" si="1"/>
        <v>xxx</v>
      </c>
      <c r="J89" t="s">
        <v>1200</v>
      </c>
    </row>
    <row r="90" spans="1:10" x14ac:dyDescent="0.25">
      <c r="A90">
        <v>79</v>
      </c>
      <c r="B90" t="str">
        <f>orig_e_resources_table!B80</f>
        <v>Engineered Materials Abstracts</v>
      </c>
      <c r="C90" t="str">
        <f>IF(orig_e_resources_table!C80="","",orig_e_resources_table!C80)</f>
        <v/>
      </c>
      <c r="D90" t="str">
        <f>orig_e_resources_table!D80</f>
        <v>http://www.csa.com/htbin/dbrng.cgi?username=paulg&amp;access=paulg20&amp;db=emaclust-set-c</v>
      </c>
      <c r="E90" t="str">
        <f>LOWER(IF(orig_e_resources_table!F80=1,TRUE,FALSE))</f>
        <v>false</v>
      </c>
      <c r="F90" t="str">
        <f>LOWER(IF(orig_e_resources_table!I80=1,TRUE,FALSE))</f>
        <v>true</v>
      </c>
      <c r="G90" t="str">
        <f>SUBSTITUTE(SUBSTITUTE(orig_e_resources_table!O80,CHAR(13),""),CHAR(10),"")</f>
        <v>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v>
      </c>
      <c r="I90" t="str">
        <f t="shared" si="1"/>
        <v/>
      </c>
      <c r="J90" t="s">
        <v>1200</v>
      </c>
    </row>
    <row r="91" spans="1:10" x14ac:dyDescent="0.25">
      <c r="A91">
        <v>80</v>
      </c>
      <c r="B91" t="str">
        <f>orig_e_resources_table!B81</f>
        <v>Engineered Materials Abstracts, Ceramics</v>
      </c>
      <c r="C91" t="str">
        <f>IF(orig_e_resources_table!C81="","",orig_e_resources_table!C81)</f>
        <v/>
      </c>
      <c r="D91" t="str">
        <f>orig_e_resources_table!D81</f>
        <v>http://www.csa.com/htbin/dbrng.cgi?username=paulg&amp;access=paulg20&amp;db=ema-ceramics-set-c</v>
      </c>
      <c r="E91" t="str">
        <f>LOWER(IF(orig_e_resources_table!F81=1,TRUE,FALSE))</f>
        <v>false</v>
      </c>
      <c r="F91" t="str">
        <f>LOWER(IF(orig_e_resources_table!I81=1,TRUE,FALSE))</f>
        <v>true</v>
      </c>
      <c r="G91" t="str">
        <f>SUBSTITUTE(SUBSTITUTE(orig_e_resources_table!O81,CHAR(13),""),CHAR(10),"")</f>
        <v>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v>
      </c>
      <c r="I91" t="str">
        <f t="shared" si="1"/>
        <v/>
      </c>
      <c r="J91" t="s">
        <v>1200</v>
      </c>
    </row>
    <row r="92" spans="1:10" x14ac:dyDescent="0.25">
      <c r="A92">
        <v>81</v>
      </c>
      <c r="B92" t="str">
        <f>orig_e_resources_table!B82</f>
        <v>Engineering Sciences and Pollution Management</v>
      </c>
      <c r="C92" t="str">
        <f>IF(orig_e_resources_table!C82="","",orig_e_resources_table!C82)</f>
        <v/>
      </c>
      <c r="D92" t="str">
        <f>orig_e_resources_table!D82</f>
        <v>http://www.csa.com/htbin/dbrng.cgi?username=paulg&amp;access=paulg20&amp;db=envclust-set-c</v>
      </c>
      <c r="E92" t="str">
        <f>LOWER(IF(orig_e_resources_table!F82=1,TRUE,FALSE))</f>
        <v>false</v>
      </c>
      <c r="F92" t="str">
        <f>LOWER(IF(orig_e_resources_table!I82=1,TRUE,FALSE))</f>
        <v>true</v>
      </c>
      <c r="G92" t="str">
        <f>SUBSTITUTE(SUBSTITUTE(orig_e_resources_table!O82,CHAR(13),""),CHAR(10),"")</f>
        <v/>
      </c>
      <c r="I92" t="str">
        <f t="shared" si="1"/>
        <v/>
      </c>
      <c r="J92" t="s">
        <v>1200</v>
      </c>
    </row>
    <row r="93" spans="1:10" x14ac:dyDescent="0.25">
      <c r="A93">
        <v>82</v>
      </c>
      <c r="B93" t="str">
        <f>orig_e_resources_table!B83</f>
        <v>Entomology Abstracts</v>
      </c>
      <c r="C93" t="str">
        <f>IF(orig_e_resources_table!C83="","",orig_e_resources_table!C83)</f>
        <v/>
      </c>
      <c r="D93" t="str">
        <f>orig_e_resources_table!D83</f>
        <v>http://www.csa.com/htbin/dbrng.cgi?username=paulg&amp;access=paulg20&amp;db=entomology-set-c</v>
      </c>
      <c r="E93" t="str">
        <f>LOWER(IF(orig_e_resources_table!F83=1,TRUE,FALSE))</f>
        <v>false</v>
      </c>
      <c r="F93" t="str">
        <f>LOWER(IF(orig_e_resources_table!I83=1,TRUE,FALSE))</f>
        <v>true</v>
      </c>
      <c r="G93" t="str">
        <f>SUBSTITUTE(SUBSTITUTE(orig_e_resources_table!O83,CHAR(13),""),CHAR(10),"")</f>
        <v>Entomology Abstracts covers recent research reports on entomology, with coverage including insects, arachnids, myriapods, onychophorans, and terrestrial isopods.</v>
      </c>
      <c r="I93" t="str">
        <f t="shared" si="1"/>
        <v/>
      </c>
      <c r="J93" t="s">
        <v>1200</v>
      </c>
    </row>
    <row r="94" spans="1:10" x14ac:dyDescent="0.25">
      <c r="A94">
        <v>83</v>
      </c>
      <c r="B94" t="str">
        <f>orig_e_resources_table!B84</f>
        <v>Environmental Engineering Abstracts</v>
      </c>
      <c r="C94" t="str">
        <f>IF(orig_e_resources_table!C84="","",orig_e_resources_table!C84)</f>
        <v/>
      </c>
      <c r="D94" t="str">
        <f>orig_e_resources_table!D84</f>
        <v>http://www.csa.com/htbin/dbrng.cgi?username=paulg&amp;access=paulg20&amp;db=environmental-set-c</v>
      </c>
      <c r="E94" t="str">
        <f>LOWER(IF(orig_e_resources_table!F84=1,TRUE,FALSE))</f>
        <v>false</v>
      </c>
      <c r="F94" t="str">
        <f>LOWER(IF(orig_e_resources_table!I84=1,TRUE,FALSE))</f>
        <v>true</v>
      </c>
      <c r="G94" t="str">
        <f>SUBSTITUTE(SUBSTITUTE(orig_e_resources_table!O84,CHAR(13),""),CHAR(10),"")</f>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c r="I94" t="str">
        <f t="shared" si="1"/>
        <v/>
      </c>
      <c r="J94" t="s">
        <v>1200</v>
      </c>
    </row>
    <row r="95" spans="1:10" x14ac:dyDescent="0.25">
      <c r="A95">
        <v>84</v>
      </c>
      <c r="B95" t="str">
        <f>orig_e_resources_table!B85</f>
        <v>Environmental Sciences and Pollution Mgmt</v>
      </c>
      <c r="C95" t="str">
        <f>IF(orig_e_resources_table!C85="","",orig_e_resources_table!C85)</f>
        <v/>
      </c>
      <c r="D95" t="str">
        <f>orig_e_resources_table!D85</f>
        <v>http://www.csa.com/htbin/dbrng.cgi?username=paulg&amp;access=paulg20&amp;db=envclust-set-c</v>
      </c>
      <c r="E95" t="str">
        <f>LOWER(IF(orig_e_resources_table!F85=1,TRUE,FALSE))</f>
        <v>true</v>
      </c>
      <c r="F95" t="str">
        <f>LOWER(IF(orig_e_resources_table!I85=1,TRUE,FALSE))</f>
        <v>true</v>
      </c>
      <c r="G95" t="str">
        <f>SUBSTITUTE(SUBSTITUTE(orig_e_resources_table!O85,CHAR(13),""),CHAR(10),"")</f>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c r="I95" t="str">
        <f t="shared" si="1"/>
        <v>xxx</v>
      </c>
      <c r="J95" t="s">
        <v>1200</v>
      </c>
    </row>
    <row r="96" spans="1:10" x14ac:dyDescent="0.25">
      <c r="A96">
        <v>85</v>
      </c>
      <c r="B96" t="str">
        <f>orig_e_resources_table!B86</f>
        <v>EPA Science Inventory</v>
      </c>
      <c r="C96" t="str">
        <f>IF(orig_e_resources_table!C86="","",orig_e_resources_table!C86)</f>
        <v/>
      </c>
      <c r="D96" t="str">
        <f>orig_e_resources_table!D86</f>
        <v>http://cfpub.epa.gov/si</v>
      </c>
      <c r="E96" t="str">
        <f>LOWER(IF(orig_e_resources_table!F86=1,TRUE,FALSE))</f>
        <v>true</v>
      </c>
      <c r="F96" t="str">
        <f>LOWER(IF(orig_e_resources_table!I86=1,TRUE,FALSE))</f>
        <v>false</v>
      </c>
      <c r="G96" t="str">
        <f>SUBSTITUTE(SUBSTITUTE(orig_e_resources_table!O86,CHAR(13),""),CHAR(10),"")</f>
        <v>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v>
      </c>
      <c r="I96" t="str">
        <f t="shared" si="1"/>
        <v>xxx</v>
      </c>
      <c r="J96" t="s">
        <v>1200</v>
      </c>
    </row>
    <row r="97" spans="1:10" x14ac:dyDescent="0.25">
      <c r="A97">
        <v>86</v>
      </c>
      <c r="B97" t="str">
        <f>orig_e_resources_table!B87</f>
        <v>E-print Network</v>
      </c>
      <c r="C97" t="str">
        <f>IF(orig_e_resources_table!C87="","",orig_e_resources_table!C87)</f>
        <v/>
      </c>
      <c r="D97" t="str">
        <f>orig_e_resources_table!D87</f>
        <v>http://eprints.osti.gov/</v>
      </c>
      <c r="E97" t="str">
        <f>LOWER(IF(orig_e_resources_table!F87=1,TRUE,FALSE))</f>
        <v>true</v>
      </c>
      <c r="F97" t="str">
        <f>LOWER(IF(orig_e_resources_table!I87=1,TRUE,FALSE))</f>
        <v>false</v>
      </c>
      <c r="G97" t="str">
        <f>SUBSTITUTE(SUBSTITUTE(orig_e_resources_table!O87,CHAR(13),""),CHAR(10),"")</f>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c r="I97" t="str">
        <f t="shared" si="1"/>
        <v>xxx</v>
      </c>
      <c r="J97" t="s">
        <v>1200</v>
      </c>
    </row>
    <row r="98" spans="1:10" x14ac:dyDescent="0.25">
      <c r="A98">
        <v>87</v>
      </c>
      <c r="B98" t="str">
        <f>orig_e_resources_table!B88</f>
        <v>ERIC</v>
      </c>
      <c r="C98" t="str">
        <f>IF(orig_e_resources_table!C88="","",orig_e_resources_table!C88)</f>
        <v>Education Resources Information Center</v>
      </c>
      <c r="D98" t="str">
        <f>orig_e_resources_table!D88</f>
        <v>http://search.EBSCOhost.com/login.asp?profile=web&amp;defaultdb=eric</v>
      </c>
      <c r="E98" t="str">
        <f>LOWER(IF(orig_e_resources_table!F88=1,TRUE,FALSE))</f>
        <v>true</v>
      </c>
      <c r="F98" t="str">
        <f>LOWER(IF(orig_e_resources_table!I88=1,TRUE,FALSE))</f>
        <v>true</v>
      </c>
      <c r="G98" t="str">
        <f>SUBSTITUTE(SUBSTITUTE(orig_e_resources_table!O88,CHAR(13),""),CHAR(10),"")</f>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c r="I98" t="str">
        <f t="shared" si="1"/>
        <v>xxx</v>
      </c>
      <c r="J98" t="s">
        <v>1200</v>
      </c>
    </row>
    <row r="99" spans="1:10" x14ac:dyDescent="0.25">
      <c r="A99">
        <v>88</v>
      </c>
      <c r="B99" t="str">
        <f>orig_e_resources_table!B89</f>
        <v>esp@cenet</v>
      </c>
      <c r="C99" t="str">
        <f>IF(orig_e_resources_table!C89="","",orig_e_resources_table!C89)</f>
        <v/>
      </c>
      <c r="D99" t="str">
        <f>orig_e_resources_table!D89</f>
        <v>http://ep.espacenet.com/</v>
      </c>
      <c r="E99" t="str">
        <f>LOWER(IF(orig_e_resources_table!F89=1,TRUE,FALSE))</f>
        <v>true</v>
      </c>
      <c r="F99" t="str">
        <f>LOWER(IF(orig_e_resources_table!I89=1,TRUE,FALSE))</f>
        <v>false</v>
      </c>
      <c r="G99" t="str">
        <f>SUBSTITUTE(SUBSTITUTE(orig_e_resources_table!O89,CHAR(13),""),CHAR(10),"")</f>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c r="I99" t="str">
        <f t="shared" si="1"/>
        <v>xxx</v>
      </c>
      <c r="J99" t="s">
        <v>1200</v>
      </c>
    </row>
    <row r="100" spans="1:10" x14ac:dyDescent="0.25">
      <c r="A100">
        <v>89</v>
      </c>
      <c r="B100" t="str">
        <f>orig_e_resources_table!B90</f>
        <v>Fermilab Technical Publications</v>
      </c>
      <c r="C100" t="str">
        <f>IF(orig_e_resources_table!C90="","",orig_e_resources_table!C90)</f>
        <v/>
      </c>
      <c r="D100" t="str">
        <f>orig_e_resources_table!D90</f>
        <v>http://bss.fnal.gov/techpubs/fermilab_spires.html</v>
      </c>
      <c r="E100" t="str">
        <f>LOWER(IF(orig_e_resources_table!F90=1,TRUE,FALSE))</f>
        <v>true</v>
      </c>
      <c r="F100" t="str">
        <f>LOWER(IF(orig_e_resources_table!I90=1,TRUE,FALSE))</f>
        <v>false</v>
      </c>
      <c r="G100" t="str">
        <f>SUBSTITUTE(SUBSTITUTE(orig_e_resources_table!O90,CHAR(13),""),CHAR(10),"")</f>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c r="I100" t="str">
        <f t="shared" si="1"/>
        <v>xxx</v>
      </c>
      <c r="J100" t="s">
        <v>1200</v>
      </c>
    </row>
    <row r="101" spans="1:10" x14ac:dyDescent="0.25">
      <c r="A101">
        <v>90</v>
      </c>
      <c r="B101" t="str">
        <f>orig_e_resources_table!B91</f>
        <v>FSTA - Food Science and Technology Abstracts</v>
      </c>
      <c r="C101" t="str">
        <f>IF(orig_e_resources_table!C91="","",orig_e_resources_table!C91)</f>
        <v/>
      </c>
      <c r="D101" t="str">
        <f>orig_e_resources_table!D91</f>
        <v>http://search.EBSCOhost.com/login.asp?profile=web&amp;defaultdb=ffh</v>
      </c>
      <c r="E101" t="str">
        <f>LOWER(IF(orig_e_resources_table!F91=1,TRUE,FALSE))</f>
        <v>false</v>
      </c>
      <c r="F101" t="str">
        <f>LOWER(IF(orig_e_resources_table!I91=1,TRUE,FALSE))</f>
        <v>true</v>
      </c>
      <c r="G101" t="str">
        <f>SUBSTITUTE(SUBSTITUTE(orig_e_resources_table!O91,CHAR(13),""),CHAR(10),"")</f>
        <v>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v>
      </c>
      <c r="I101" t="str">
        <f t="shared" si="1"/>
        <v/>
      </c>
      <c r="J101" t="s">
        <v>1200</v>
      </c>
    </row>
    <row r="102" spans="1:10" x14ac:dyDescent="0.25">
      <c r="A102">
        <v>91</v>
      </c>
      <c r="B102" t="str">
        <f>orig_e_resources_table!B92</f>
        <v>Funk &amp;amp; Wagnalls New World Encyclopedia</v>
      </c>
      <c r="C102" t="str">
        <f>IF(orig_e_resources_table!C92="","",orig_e_resources_table!C92)</f>
        <v/>
      </c>
      <c r="D102" t="str">
        <f>orig_e_resources_table!D92</f>
        <v>http://search.EBSCOhost.com/login.asp?profile=web&amp;defaultdb=funk</v>
      </c>
      <c r="E102" t="str">
        <f>LOWER(IF(orig_e_resources_table!F92=1,TRUE,FALSE))</f>
        <v>true</v>
      </c>
      <c r="F102" t="str">
        <f>LOWER(IF(orig_e_resources_table!I92=1,TRUE,FALSE))</f>
        <v>true</v>
      </c>
      <c r="G102" t="str">
        <f>SUBSTITUTE(SUBSTITUTE(orig_e_resources_table!O92,CHAR(13),""),CHAR(10),"")</f>
        <v>Online version of the popular encyclopedia, featuring over 25,000 entries, covering a broad array of topics.</v>
      </c>
      <c r="I102" t="str">
        <f t="shared" si="1"/>
        <v>xxx</v>
      </c>
      <c r="J102" t="s">
        <v>1207</v>
      </c>
    </row>
    <row r="103" spans="1:10" x14ac:dyDescent="0.25">
      <c r="A103">
        <v>245</v>
      </c>
      <c r="B103" t="str">
        <f>orig_e_resources_table!B246</f>
        <v>Gale Virtual Reference Library</v>
      </c>
      <c r="C103" t="str">
        <f>IF(orig_e_resources_table!C246="","",orig_e_resources_table!C246)</f>
        <v>NULL</v>
      </c>
      <c r="D103" t="str">
        <f>orig_e_resources_table!D246</f>
        <v>http://infotrac.galegroup.com/itweb/chic7029?db=GVRL</v>
      </c>
      <c r="E103" t="str">
        <f>LOWER(IF(orig_e_resources_table!F246=1,TRUE,FALSE))</f>
        <v>true</v>
      </c>
      <c r="F103" t="str">
        <f>LOWER(IF(orig_e_resources_table!I246=1,TRUE,FALSE))</f>
        <v>true</v>
      </c>
      <c r="G103" t="str">
        <f>SUBSTITUTE(SUBSTITUTE(orig_e_resources_table!O246,CHAR(13),""),CHAR(10),"")</f>
        <v xml:space="preserve">A collection of electronic reference books on a variety of topics. Includes encyclopedia entries for arts, business, environment, history, religion, science and technology, as well as general reference topics. A good place to get a basic overview of a topic. </v>
      </c>
      <c r="I103" t="str">
        <f t="shared" si="1"/>
        <v>xxx</v>
      </c>
      <c r="J103" t="s">
        <v>1207</v>
      </c>
    </row>
    <row r="104" spans="1:10" x14ac:dyDescent="0.25">
      <c r="A104">
        <v>216</v>
      </c>
      <c r="B104" t="str">
        <f>orig_e_resources_table!B217</f>
        <v>Galvin Library Public Administration Index</v>
      </c>
      <c r="C104" t="str">
        <f>IF(orig_e_resources_table!C217="","",orig_e_resources_table!C217)</f>
        <v>NULL</v>
      </c>
      <c r="D104" t="str">
        <f>orig_e_resources_table!D217</f>
        <v>http://guides.library.iit.edu/content.php?pid=27903&amp;sid=205275</v>
      </c>
      <c r="E104" t="str">
        <f>LOWER(IF(orig_e_resources_table!F217=1,TRUE,FALSE))</f>
        <v>true</v>
      </c>
      <c r="F104" t="str">
        <f>LOWER(IF(orig_e_resources_table!I217=1,TRUE,FALSE))</f>
        <v>false</v>
      </c>
      <c r="G104" t="str">
        <f>SUBSTITUTE(SUBSTITUTE(orig_e_resources_table!O217,CHAR(13),""),CHAR(10),"")</f>
        <v>Prepared by the Government Documents Depository staff at the Paul V. Galvin Library, this index provides access to the most widely used publicly available policy analysis and legislative websites.</v>
      </c>
      <c r="I104" t="str">
        <f t="shared" si="1"/>
        <v>xxx</v>
      </c>
      <c r="J104" t="s">
        <v>1200</v>
      </c>
    </row>
    <row r="105" spans="1:10" x14ac:dyDescent="0.25">
      <c r="A105">
        <v>92</v>
      </c>
      <c r="B105" t="str">
        <f>orig_e_resources_table!B93</f>
        <v>GenBank</v>
      </c>
      <c r="C105" t="str">
        <f>IF(orig_e_resources_table!C93="","",orig_e_resources_table!C93)</f>
        <v/>
      </c>
      <c r="D105" t="str">
        <f>orig_e_resources_table!D93</f>
        <v>http://www.ncbi.nlm.nih.gov/Genbank/</v>
      </c>
      <c r="E105" t="str">
        <f>LOWER(IF(orig_e_resources_table!F93=1,TRUE,FALSE))</f>
        <v>true</v>
      </c>
      <c r="F105" t="str">
        <f>LOWER(IF(orig_e_resources_table!I93=1,TRUE,FALSE))</f>
        <v>false</v>
      </c>
      <c r="G105" t="str">
        <f>SUBSTITUTE(SUBSTITUTE(orig_e_resources_table!O93,CHAR(13),""),CHAR(10),"")</f>
        <v>GenBank is the National Institute of Health (NIH) genetic sequence database, an annotated collection of all publicly available DNA sequences.</v>
      </c>
      <c r="I105" t="str">
        <f t="shared" si="1"/>
        <v>xxx</v>
      </c>
      <c r="J105" t="s">
        <v>1200</v>
      </c>
    </row>
    <row r="106" spans="1:10" x14ac:dyDescent="0.25">
      <c r="A106">
        <v>93</v>
      </c>
      <c r="B106" t="str">
        <f>orig_e_resources_table!B94</f>
        <v>Genetics Abstracts</v>
      </c>
      <c r="C106" t="str">
        <f>IF(orig_e_resources_table!C94="","",orig_e_resources_table!C94)</f>
        <v/>
      </c>
      <c r="D106" t="str">
        <f>orig_e_resources_table!D94</f>
        <v>http://www.csa.com/htbin/dbrng.cgi?username=paulg&amp;access=paulg20&amp;db=genetics-set-c</v>
      </c>
      <c r="E106" t="str">
        <f>LOWER(IF(orig_e_resources_table!F94=1,TRUE,FALSE))</f>
        <v>false</v>
      </c>
      <c r="F106" t="str">
        <f>LOWER(IF(orig_e_resources_table!I94=1,TRUE,FALSE))</f>
        <v>true</v>
      </c>
      <c r="G106" t="str">
        <f>SUBSTITUTE(SUBSTITUTE(orig_e_resources_table!O94,CHAR(13),""),CHAR(10),"")</f>
        <v>Genetics Abstracts is a database of worldwide literature covering topics such as molecular genetics, DNA, differentiation and development, RNA, protein synthesis, ribosomes, nuclear proteins and chromatin, enzymes, gene regulation, and recombinant DNA technology.</v>
      </c>
      <c r="I106" t="str">
        <f t="shared" si="1"/>
        <v/>
      </c>
      <c r="J106" t="s">
        <v>1200</v>
      </c>
    </row>
    <row r="107" spans="1:10" x14ac:dyDescent="0.25">
      <c r="A107">
        <v>178</v>
      </c>
      <c r="B107" t="str">
        <f>orig_e_resources_table!B179</f>
        <v>Getty Art &amp;amp; Architecture Thesaurus</v>
      </c>
      <c r="C107" t="str">
        <f>IF(orig_e_resources_table!C179="","",orig_e_resources_table!C179)</f>
        <v>NULL</v>
      </c>
      <c r="D107" t="str">
        <f>orig_e_resources_table!D179</f>
        <v>http://www.getty.edu/research/conducting_research/vocabularies/aat/</v>
      </c>
      <c r="E107" t="str">
        <f>LOWER(IF(orig_e_resources_table!F179=1,TRUE,FALSE))</f>
        <v>true</v>
      </c>
      <c r="F107" t="str">
        <f>LOWER(IF(orig_e_resources_table!I179=1,TRUE,FALSE))</f>
        <v>false</v>
      </c>
      <c r="G107" t="str">
        <f>SUBSTITUTE(SUBSTITUTE(orig_e_resources_table!O179,CHAR(13),""),CHAR(10),"")</f>
        <v>The AAT is a structured vocabulary relating to architecture, fine arts, and related topics. Useful in defining the best term for a search, related topics, and the history of a term's use. Should one search for Brutalist, Brutalism, or Neo-Brutalist? Find the answer in the AAT.</v>
      </c>
      <c r="I107" t="str">
        <f t="shared" si="1"/>
        <v>xxx</v>
      </c>
      <c r="J107" t="s">
        <v>1202</v>
      </c>
    </row>
    <row r="108" spans="1:10" x14ac:dyDescent="0.25">
      <c r="A108">
        <v>152</v>
      </c>
      <c r="B108" t="str">
        <f>orig_e_resources_table!B153</f>
        <v>Getty Thesaurus of Geographic Names</v>
      </c>
      <c r="C108" t="str">
        <f>IF(orig_e_resources_table!C153="","",orig_e_resources_table!C153)</f>
        <v>NULL</v>
      </c>
      <c r="D108" t="str">
        <f>orig_e_resources_table!D153</f>
        <v>http://www.getty.edu/research/conducting_research/vocabularies/tgn/index.html</v>
      </c>
      <c r="E108" t="str">
        <f>LOWER(IF(orig_e_resources_table!F153=1,TRUE,FALSE))</f>
        <v>true</v>
      </c>
      <c r="F108" t="str">
        <f>LOWER(IF(orig_e_resources_table!I153=1,TRUE,FALSE))</f>
        <v>false</v>
      </c>
      <c r="G108" t="str">
        <f>SUBSTITUTE(SUBSTITUTE(orig_e_resources_table!O153,CHAR(13),""),CHAR(10),"")</f>
        <v>Hierarchical thesaurus of nearly 900,000 places. The TGN provides vernacular and English names of places, variant names in other languages, and whenever possible, historical names. The record for a place may also contain geographical coordinates, dates, and notes.</v>
      </c>
      <c r="I108" t="str">
        <f t="shared" si="1"/>
        <v>xxx</v>
      </c>
      <c r="J108" t="s">
        <v>1207</v>
      </c>
    </row>
    <row r="109" spans="1:10" x14ac:dyDescent="0.25">
      <c r="A109">
        <v>94</v>
      </c>
      <c r="B109" t="str">
        <f>orig_e_resources_table!B95</f>
        <v>Glossary of Genetic Terms</v>
      </c>
      <c r="C109" t="str">
        <f>IF(orig_e_resources_table!C95="","",orig_e_resources_table!C95)</f>
        <v/>
      </c>
      <c r="D109" t="str">
        <f>orig_e_resources_table!D95</f>
        <v>http://www.genome.gov/glossary.cfm</v>
      </c>
      <c r="E109" t="str">
        <f>LOWER(IF(orig_e_resources_table!F95=1,TRUE,FALSE))</f>
        <v>true</v>
      </c>
      <c r="F109" t="str">
        <f>LOWER(IF(orig_e_resources_table!I95=1,TRUE,FALSE))</f>
        <v>false</v>
      </c>
      <c r="G109" t="str">
        <f>SUBSTITUTE(SUBSTITUTE(orig_e_resources_table!O95,CHAR(13),""),CHAR(10),"")</f>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v>
      </c>
      <c r="I109" t="str">
        <f t="shared" si="1"/>
        <v>xxx</v>
      </c>
      <c r="J109" t="s">
        <v>1207</v>
      </c>
    </row>
    <row r="110" spans="1:10" x14ac:dyDescent="0.25">
      <c r="A110">
        <v>227</v>
      </c>
      <c r="B110" t="str">
        <f>orig_e_resources_table!B228</f>
        <v>Google Book Search</v>
      </c>
      <c r="C110" t="str">
        <f>IF(orig_e_resources_table!C228="","",orig_e_resources_table!C228)</f>
        <v>NULL</v>
      </c>
      <c r="D110" t="str">
        <f>orig_e_resources_table!D228</f>
        <v>http://books.google.com</v>
      </c>
      <c r="E110" t="str">
        <f>LOWER(IF(orig_e_resources_table!F228=1,TRUE,FALSE))</f>
        <v>true</v>
      </c>
      <c r="F110" t="str">
        <f>LOWER(IF(orig_e_resources_table!I228=1,TRUE,FALSE))</f>
        <v>false</v>
      </c>
      <c r="G110" t="str">
        <f>SUBSTITUTE(SUBSTITUTE(orig_e_resources_table!O228,CHAR(13),""),CHAR(10),"")</f>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c r="I110" t="str">
        <f t="shared" si="1"/>
        <v>xxx</v>
      </c>
      <c r="J110" t="s">
        <v>1204</v>
      </c>
    </row>
    <row r="111" spans="1:10" x14ac:dyDescent="0.25">
      <c r="A111">
        <v>235</v>
      </c>
      <c r="B111" t="str">
        <f>orig_e_resources_table!B236</f>
        <v>Google News Archive Search</v>
      </c>
      <c r="C111" t="str">
        <f>IF(orig_e_resources_table!C236="","",orig_e_resources_table!C236)</f>
        <v>NULL</v>
      </c>
      <c r="D111" t="str">
        <f>orig_e_resources_table!D236</f>
        <v>http://news.google.com/archivesearch</v>
      </c>
      <c r="E111" t="str">
        <f>LOWER(IF(orig_e_resources_table!F236=1,TRUE,FALSE))</f>
        <v>true</v>
      </c>
      <c r="F111" t="str">
        <f>LOWER(IF(orig_e_resources_table!I236=1,TRUE,FALSE))</f>
        <v>false</v>
      </c>
      <c r="G111" t="str">
        <f>SUBSTITUTE(SUBSTITUTE(orig_e_resources_table!O236,CHAR(13),""),CHAR(10),"")</f>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c r="I111" t="str">
        <f t="shared" si="1"/>
        <v>xxx</v>
      </c>
      <c r="J111" t="s">
        <v>1203</v>
      </c>
    </row>
    <row r="112" spans="1:10" x14ac:dyDescent="0.25">
      <c r="A112">
        <v>95</v>
      </c>
      <c r="B112" t="str">
        <f>orig_e_resources_table!B96</f>
        <v>Google Patent Search</v>
      </c>
      <c r="C112" t="str">
        <f>IF(orig_e_resources_table!C96="","",orig_e_resources_table!C96)</f>
        <v/>
      </c>
      <c r="D112" t="str">
        <f>orig_e_resources_table!D96</f>
        <v>http://www.google.com/patents</v>
      </c>
      <c r="E112" t="str">
        <f>LOWER(IF(orig_e_resources_table!F96=1,TRUE,FALSE))</f>
        <v>true</v>
      </c>
      <c r="F112" t="str">
        <f>LOWER(IF(orig_e_resources_table!I96=1,TRUE,FALSE))</f>
        <v>false</v>
      </c>
      <c r="G112" t="str">
        <f>SUBSTITUTE(SUBSTITUTE(orig_e_resources_table!O96,CHAR(13),""),CHAR(10),"")</f>
        <v>Google Patent Search offers full-text searching of the entire U.S. patent corpus.</v>
      </c>
      <c r="I112" t="str">
        <f t="shared" si="1"/>
        <v>xxx</v>
      </c>
      <c r="J112" t="s">
        <v>1216</v>
      </c>
    </row>
    <row r="113" spans="1:10" x14ac:dyDescent="0.25">
      <c r="A113">
        <v>96</v>
      </c>
      <c r="B113" t="str">
        <f>orig_e_resources_table!B97</f>
        <v>Google Scholar</v>
      </c>
      <c r="C113" t="str">
        <f>IF(orig_e_resources_table!C97="","",orig_e_resources_table!C97)</f>
        <v/>
      </c>
      <c r="D113" t="str">
        <f>orig_e_resources_table!D97</f>
        <v>http://scholar.google.com</v>
      </c>
      <c r="E113" t="str">
        <f>LOWER(IF(orig_e_resources_table!F97=1,TRUE,FALSE))</f>
        <v>true</v>
      </c>
      <c r="F113" t="str">
        <f>LOWER(IF(orig_e_resources_table!I97=1,TRUE,FALSE))</f>
        <v>true</v>
      </c>
      <c r="G113" t="str">
        <f>SUBSTITUTE(SUBSTITUTE(orig_e_resources_table!O97,CHAR(13),""),CHAR(10),"")</f>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c r="I113" t="str">
        <f t="shared" si="1"/>
        <v>xxx</v>
      </c>
      <c r="J113" t="s">
        <v>1217</v>
      </c>
    </row>
    <row r="114" spans="1:10" x14ac:dyDescent="0.25">
      <c r="A114">
        <v>213</v>
      </c>
      <c r="B114" t="str">
        <f>orig_e_resources_table!B214</f>
        <v>Government Documents Online Map Directory</v>
      </c>
      <c r="C114" t="str">
        <f>IF(orig_e_resources_table!C214="","",orig_e_resources_table!C214)</f>
        <v>NULL</v>
      </c>
      <c r="D114" t="str">
        <f>orig_e_resources_table!D214</f>
        <v>http://guides.library.iit.edu/content.php?pid=27903&amp;sid=322018</v>
      </c>
      <c r="E114" t="str">
        <f>LOWER(IF(orig_e_resources_table!F214=1,TRUE,FALSE))</f>
        <v>true</v>
      </c>
      <c r="F114" t="str">
        <f>LOWER(IF(orig_e_resources_table!I214=1,TRUE,FALSE))</f>
        <v>false</v>
      </c>
      <c r="G114" t="str">
        <f>SUBSTITUTE(SUBSTITUTE(orig_e_resources_table!O214,CHAR(13),""),CHAR(10),"")</f>
        <v>Comprehensive directory of web-based and print map resources. Maintained by the Galvin Library Government Documents Depository staff.</v>
      </c>
      <c r="I114" t="str">
        <f t="shared" si="1"/>
        <v>xxx</v>
      </c>
      <c r="J114" t="s">
        <v>1211</v>
      </c>
    </row>
    <row r="115" spans="1:10" x14ac:dyDescent="0.25">
      <c r="A115">
        <v>97</v>
      </c>
      <c r="B115" t="str">
        <f>orig_e_resources_table!B98</f>
        <v>Government Sites from Bernan</v>
      </c>
      <c r="C115" t="str">
        <f>IF(orig_e_resources_table!C98="","",orig_e_resources_table!C98)</f>
        <v/>
      </c>
      <c r="D115" t="str">
        <f>orig_e_resources_table!D98</f>
        <v>http://gii.bernan.com/</v>
      </c>
      <c r="E115" t="str">
        <f>LOWER(IF(orig_e_resources_table!F98=1,TRUE,FALSE))</f>
        <v>false</v>
      </c>
      <c r="F115" t="str">
        <f>LOWER(IF(orig_e_resources_table!I98=1,TRUE,FALSE))</f>
        <v>true</v>
      </c>
      <c r="G115" t="str">
        <f>SUBSTITUTE(SUBSTITUTE(orig_e_resources_table!O98,CHAR(13),""),CHAR(10),"")</f>
        <v/>
      </c>
      <c r="I115" t="str">
        <f t="shared" si="1"/>
        <v/>
      </c>
      <c r="J115" t="s">
        <v>1211</v>
      </c>
    </row>
    <row r="116" spans="1:10" x14ac:dyDescent="0.25">
      <c r="A116">
        <v>98</v>
      </c>
      <c r="B116" t="str">
        <f>orig_e_resources_table!B99</f>
        <v>GPO</v>
      </c>
      <c r="C116" t="str">
        <f>IF(orig_e_resources_table!C99="","",orig_e_resources_table!C99)</f>
        <v>U.S. Government Printing Office</v>
      </c>
      <c r="D116" t="str">
        <f>orig_e_resources_table!D99</f>
        <v>http://newfirstsearch.oclc.org/dbname=GPO;FSIP</v>
      </c>
      <c r="E116" t="str">
        <f>LOWER(IF(orig_e_resources_table!F99=1,TRUE,FALSE))</f>
        <v>true</v>
      </c>
      <c r="F116" t="str">
        <f>LOWER(IF(orig_e_resources_table!I99=1,TRUE,FALSE))</f>
        <v>true</v>
      </c>
      <c r="G116" t="str">
        <f>SUBSTITUTE(SUBSTITUTE(orig_e_resources_table!O99,CHAR(13),""),CHAR(10),"")</f>
        <v>This database of government publications covers all types of U.S. government documents, including Congressional reports, hearings, debates, and records; judiciary materials; and documents issued by executive departments (Defense, State, Labor, Office of the President, etc.).</v>
      </c>
      <c r="I116" t="str">
        <f t="shared" si="1"/>
        <v>xxx</v>
      </c>
      <c r="J116" t="s">
        <v>1211</v>
      </c>
    </row>
    <row r="117" spans="1:10" x14ac:dyDescent="0.25">
      <c r="A117">
        <v>120</v>
      </c>
      <c r="B117" t="str">
        <f>orig_e_resources_table!B121</f>
        <v>Grant Forward</v>
      </c>
      <c r="C117" t="str">
        <f>IF(orig_e_resources_table!C121="","",orig_e_resources_table!C121)</f>
        <v>Illinois Researcher Information Service</v>
      </c>
      <c r="D117" t="str">
        <f>orig_e_resources_table!D121</f>
        <v>http://www.grantforward.com</v>
      </c>
      <c r="E117" t="str">
        <f>LOWER(IF(orig_e_resources_table!F121=1,TRUE,FALSE))</f>
        <v>true</v>
      </c>
      <c r="F117" t="str">
        <f>LOWER(IF(orig_e_resources_table!I121=1,TRUE,FALSE))</f>
        <v>false</v>
      </c>
      <c r="G117" t="str">
        <f>SUBSTITUTE(SUBSTITUTE(orig_e_resources_table!O121,CHAR(13),""),CHAR(10),"")</f>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c r="I117" t="str">
        <f t="shared" si="1"/>
        <v>xxx</v>
      </c>
      <c r="J117" t="s">
        <v>1207</v>
      </c>
    </row>
    <row r="118" spans="1:10" x14ac:dyDescent="0.25">
      <c r="A118">
        <v>242</v>
      </c>
      <c r="B118" t="str">
        <f>orig_e_resources_table!B243</f>
        <v>GRC Theses List</v>
      </c>
      <c r="C118" t="str">
        <f>IF(orig_e_resources_table!C243="","",orig_e_resources_table!C243)</f>
        <v>NULL</v>
      </c>
      <c r="D118" t="str">
        <f>orig_e_resources_table!D243</f>
        <v>https://docs.google.com/spreadsheet/ccc?key=0AlWl9zEZsWf_dGpuVGR0eDAyODN3ZUgtVF9PQkJnckE</v>
      </c>
      <c r="E118" t="str">
        <f>LOWER(IF(orig_e_resources_table!F243=1,TRUE,FALSE))</f>
        <v>true</v>
      </c>
      <c r="F118" t="str">
        <f>LOWER(IF(orig_e_resources_table!I243=1,TRUE,FALSE))</f>
        <v>false</v>
      </c>
      <c r="G118" t="str">
        <f>SUBSTITUTE(SUBSTITUTE(orig_e_resources_table!O243,CHAR(13),""),CHAR(10),"")</f>
        <v>This spreadsheet includes information on the authors, titles, and dates of publication of theses written by graduates of the College of Architecture at IIT.</v>
      </c>
      <c r="I118" t="str">
        <f t="shared" si="1"/>
        <v>xxx</v>
      </c>
      <c r="J118" t="s">
        <v>1214</v>
      </c>
    </row>
    <row r="119" spans="1:10" x14ac:dyDescent="0.25">
      <c r="A119">
        <v>99</v>
      </c>
      <c r="B119" t="str">
        <f>orig_e_resources_table!B100</f>
        <v>GreenFILE</v>
      </c>
      <c r="C119" t="str">
        <f>IF(orig_e_resources_table!C100="","",orig_e_resources_table!C100)</f>
        <v/>
      </c>
      <c r="D119" t="str">
        <f>orig_e_resources_table!D100</f>
        <v>http://search.EBSCOhost.com/login.asp?profile=web&amp;defaultdb=8gh</v>
      </c>
      <c r="E119" t="str">
        <f>LOWER(IF(orig_e_resources_table!F100=1,TRUE,FALSE))</f>
        <v>true</v>
      </c>
      <c r="F119" t="str">
        <f>LOWER(IF(orig_e_resources_table!I100=1,TRUE,FALSE))</f>
        <v>true</v>
      </c>
      <c r="G119" t="str">
        <f>SUBSTITUTE(SUBSTITUTE(orig_e_resources_table!O100,CHAR(13),""),CHAR(10),"")</f>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c r="I119" t="str">
        <f t="shared" si="1"/>
        <v>xxx</v>
      </c>
      <c r="J119" t="s">
        <v>1200</v>
      </c>
    </row>
    <row r="120" spans="1:10" x14ac:dyDescent="0.25">
      <c r="A120">
        <v>220</v>
      </c>
      <c r="B120" t="str">
        <f>orig_e_resources_table!B221</f>
        <v>HaPI</v>
      </c>
      <c r="C120" t="str">
        <f>IF(orig_e_resources_table!C221="","",orig_e_resources_table!C221)</f>
        <v>Health &amp;amp; Psychosocial Instruments</v>
      </c>
      <c r="D120" t="str">
        <f>orig_e_resources_table!D221</f>
        <v>http://search.ebscohost.com/login.asp?profile=web&amp;defaultdb=hpi</v>
      </c>
      <c r="E120" t="str">
        <f>LOWER(IF(orig_e_resources_table!F221=1,TRUE,FALSE))</f>
        <v>true</v>
      </c>
      <c r="F120" t="str">
        <f>LOWER(IF(orig_e_resources_table!I221=1,TRUE,FALSE))</f>
        <v>true</v>
      </c>
      <c r="G120" t="str">
        <f>SUBSTITUTE(SUBSTITUTE(orig_e_resources_table!O221,CHAR(13),""),CHAR(10),"")</f>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c r="I120" t="str">
        <f t="shared" si="1"/>
        <v>xxx</v>
      </c>
      <c r="J120" t="s">
        <v>1200</v>
      </c>
    </row>
    <row r="121" spans="1:10" x14ac:dyDescent="0.25">
      <c r="A121">
        <v>100</v>
      </c>
      <c r="B121" t="str">
        <f>orig_e_resources_table!B101</f>
        <v>Harper's Weekly</v>
      </c>
      <c r="C121" t="str">
        <f>IF(orig_e_resources_table!C101="","",orig_e_resources_table!C101)</f>
        <v/>
      </c>
      <c r="D121" t="str">
        <f>orig_e_resources_table!D101</f>
        <v>http://app.harpweek.com/</v>
      </c>
      <c r="E121" t="str">
        <f>LOWER(IF(orig_e_resources_table!F101=1,TRUE,FALSE))</f>
        <v>true</v>
      </c>
      <c r="F121" t="str">
        <f>LOWER(IF(orig_e_resources_table!I101=1,TRUE,FALSE))</f>
        <v>true</v>
      </c>
      <c r="G121" t="str">
        <f>SUBSTITUTE(SUBSTITUTE(orig_e_resources_table!O101,CHAR(13),""),CHAR(10),"")</f>
        <v>Online archive of issues of Harper's Weekly, one of America's leading 19th-century illustrated newspapers. Access is available from 1857-1912.</v>
      </c>
      <c r="I121" t="str">
        <f t="shared" si="1"/>
        <v>xxx</v>
      </c>
      <c r="J121" t="s">
        <v>1203</v>
      </c>
    </row>
    <row r="122" spans="1:10" x14ac:dyDescent="0.25">
      <c r="A122">
        <v>101</v>
      </c>
      <c r="B122" t="str">
        <f>orig_e_resources_table!B102</f>
        <v>Health and Safety Science Abstracts</v>
      </c>
      <c r="C122" t="str">
        <f>IF(orig_e_resources_table!C102="","",orig_e_resources_table!C102)</f>
        <v/>
      </c>
      <c r="D122" t="str">
        <f>orig_e_resources_table!D102</f>
        <v>http://www.csa.com/htbin/dbrng.cgi?username=paulg&amp;access=paulg20&amp;db=health-safety-set-c</v>
      </c>
      <c r="E122" t="str">
        <f>LOWER(IF(orig_e_resources_table!F102=1,TRUE,FALSE))</f>
        <v>false</v>
      </c>
      <c r="F122" t="str">
        <f>LOWER(IF(orig_e_resources_table!I102=1,TRUE,FALSE))</f>
        <v>true</v>
      </c>
      <c r="G122" t="str">
        <f>SUBSTITUTE(SUBSTITUTE(orig_e_resources_table!O102,CHAR(13),""),CHAR(10),"")</f>
        <v>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v>
      </c>
      <c r="I122" t="str">
        <f t="shared" si="1"/>
        <v/>
      </c>
      <c r="J122" t="s">
        <v>1200</v>
      </c>
    </row>
    <row r="123" spans="1:10" x14ac:dyDescent="0.25">
      <c r="A123">
        <v>102</v>
      </c>
      <c r="B123" t="str">
        <f>orig_e_resources_table!B103</f>
        <v>Health Source - Consumer Edition</v>
      </c>
      <c r="C123" t="str">
        <f>IF(orig_e_resources_table!C103="","",orig_e_resources_table!C103)</f>
        <v/>
      </c>
      <c r="D123" t="str">
        <f>orig_e_resources_table!D103</f>
        <v>http://search.EBSCOhost.com/login.asp?profile=web&amp;defaultdb=hxh</v>
      </c>
      <c r="E123" t="str">
        <f>LOWER(IF(orig_e_resources_table!F103=1,TRUE,FALSE))</f>
        <v>true</v>
      </c>
      <c r="F123" t="str">
        <f>LOWER(IF(orig_e_resources_table!I103=1,TRUE,FALSE))</f>
        <v>true</v>
      </c>
      <c r="G123" t="str">
        <f>SUBSTITUTE(SUBSTITUTE(orig_e_resources_table!O103,CHAR(13),""),CHAR(10),"")</f>
        <v>Database of consumer health information, providing information on many health topics including the medical sciences, food sciences and nutrition, childcare, sports medicine and general health. Provides access to nearly 80 full text, consumer health magazines.</v>
      </c>
      <c r="I123" t="str">
        <f t="shared" si="1"/>
        <v>xxx</v>
      </c>
      <c r="J123" t="s">
        <v>1200</v>
      </c>
    </row>
    <row r="124" spans="1:10" x14ac:dyDescent="0.25">
      <c r="A124">
        <v>103</v>
      </c>
      <c r="B124" t="str">
        <f>orig_e_resources_table!B104</f>
        <v>Health Source - Nursing / Academic Edition</v>
      </c>
      <c r="C124" t="str">
        <f>IF(orig_e_resources_table!C104="","",orig_e_resources_table!C104)</f>
        <v/>
      </c>
      <c r="D124" t="str">
        <f>orig_e_resources_table!D104</f>
        <v>http://search.EBSCOhost.com/login.asp?profile=web&amp;defaultdb=hch</v>
      </c>
      <c r="E124" t="str">
        <f>LOWER(IF(orig_e_resources_table!F104=1,TRUE,FALSE))</f>
        <v>true</v>
      </c>
      <c r="F124" t="str">
        <f>LOWER(IF(orig_e_resources_table!I104=1,TRUE,FALSE))</f>
        <v>true</v>
      </c>
      <c r="G124" t="str">
        <f>SUBSTITUTE(SUBSTITUTE(orig_e_resources_table!O104,CHAR(13),""),CHAR(10),"")</f>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c r="I124" t="str">
        <f t="shared" si="1"/>
        <v>xxx</v>
      </c>
      <c r="J124" t="s">
        <v>1200</v>
      </c>
    </row>
    <row r="125" spans="1:10" x14ac:dyDescent="0.25">
      <c r="A125">
        <v>225</v>
      </c>
      <c r="B125" t="str">
        <f>orig_e_resources_table!B226</f>
        <v>Historical Statistics of the United States</v>
      </c>
      <c r="C125" t="str">
        <f>IF(orig_e_resources_table!C226="","",orig_e_resources_table!C226)</f>
        <v>NULL</v>
      </c>
      <c r="D125" t="str">
        <f>orig_e_resources_table!D226</f>
        <v>http://hsus.cambridge.org/</v>
      </c>
      <c r="E125" t="str">
        <f>LOWER(IF(orig_e_resources_table!F226=1,TRUE,FALSE))</f>
        <v>true</v>
      </c>
      <c r="F125" t="str">
        <f>LOWER(IF(orig_e_resources_table!I226=1,TRUE,FALSE))</f>
        <v>true</v>
      </c>
      <c r="G125" t="str">
        <f>SUBSTITUTE(SUBSTITUTE(orig_e_resources_table!O226,CHAR(13),""),CHAR(10),"")</f>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c r="I125" t="str">
        <f t="shared" si="1"/>
        <v>xxx</v>
      </c>
      <c r="J125" t="s">
        <v>1200</v>
      </c>
    </row>
    <row r="126" spans="1:10" x14ac:dyDescent="0.25">
      <c r="A126">
        <v>104</v>
      </c>
      <c r="B126" t="str">
        <f>orig_e_resources_table!B105</f>
        <v>History of Science, Technology, and Medicine</v>
      </c>
      <c r="C126" t="str">
        <f>IF(orig_e_resources_table!C105="","",orig_e_resources_table!C105)</f>
        <v/>
      </c>
      <c r="D126" t="str">
        <f>orig_e_resources_table!D105</f>
        <v>http://search.EBSCOhost.com/login.asp?profile=web&amp;defaultdb=htm</v>
      </c>
      <c r="E126" t="str">
        <f>LOWER(IF(orig_e_resources_table!F105=1,TRUE,FALSE))</f>
        <v>true</v>
      </c>
      <c r="F126" t="str">
        <f>LOWER(IF(orig_e_resources_table!I105=1,TRUE,FALSE))</f>
        <v>true</v>
      </c>
      <c r="G126" t="str">
        <f>SUBSTITUTE(SUBSTITUTE(orig_e_resources_table!O105,CHAR(13),""),CHAR(10),"")</f>
        <v>This database indexes journal articles, conference proceedings, books, book reviews, and dissertations in the history of science, technology, and medicine and allied historical fields.</v>
      </c>
      <c r="I126" t="str">
        <f t="shared" si="1"/>
        <v>xxx</v>
      </c>
      <c r="J126" t="s">
        <v>1200</v>
      </c>
    </row>
    <row r="127" spans="1:10" x14ac:dyDescent="0.25">
      <c r="A127">
        <v>105</v>
      </c>
      <c r="B127" t="str">
        <f>orig_e_resources_table!B106</f>
        <v>Human Genome Abstracts</v>
      </c>
      <c r="C127" t="str">
        <f>IF(orig_e_resources_table!C106="","",orig_e_resources_table!C106)</f>
        <v/>
      </c>
      <c r="D127" t="str">
        <f>orig_e_resources_table!D106</f>
        <v>http://www.csa.com/htbin/dbrng.cgi?username=paulg&amp;access=paulg20&amp;db=human-genome-set-c</v>
      </c>
      <c r="E127" t="str">
        <f>LOWER(IF(orig_e_resources_table!F106=1,TRUE,FALSE))</f>
        <v>false</v>
      </c>
      <c r="F127" t="str">
        <f>LOWER(IF(orig_e_resources_table!I106=1,TRUE,FALSE))</f>
        <v>true</v>
      </c>
      <c r="G127" t="str">
        <f>SUBSTITUTE(SUBSTITUTE(orig_e_resources_table!O106,CHAR(13),""),CHAR(10),"")</f>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v>
      </c>
      <c r="I127" t="str">
        <f t="shared" si="1"/>
        <v/>
      </c>
      <c r="J127" t="s">
        <v>1200</v>
      </c>
    </row>
    <row r="128" spans="1:10" x14ac:dyDescent="0.25">
      <c r="A128">
        <v>106</v>
      </c>
      <c r="B128" t="str">
        <f>orig_e_resources_table!B107</f>
        <v>Human Population &amp; Natural Resource Management</v>
      </c>
      <c r="C128" t="str">
        <f>IF(orig_e_resources_table!C107="","",orig_e_resources_table!C107)</f>
        <v/>
      </c>
      <c r="D128" t="str">
        <f>orig_e_resources_table!D107</f>
        <v>http://www.csa.com/htbin/dbrng.cgi?username=paulg&amp;access=paulg20&amp;db=humanpop-set-c</v>
      </c>
      <c r="E128" t="str">
        <f>LOWER(IF(orig_e_resources_table!F107=1,TRUE,FALSE))</f>
        <v>false</v>
      </c>
      <c r="F128" t="str">
        <f>LOWER(IF(orig_e_resources_table!I107=1,TRUE,FALSE))</f>
        <v>true</v>
      </c>
      <c r="G128" t="str">
        <f>SUBSTITUTE(SUBSTITUTE(orig_e_resources_table!O107,CHAR(13),""),CHAR(10),"")</f>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c r="I128" t="str">
        <f t="shared" si="1"/>
        <v/>
      </c>
      <c r="J128" t="s">
        <v>1200</v>
      </c>
    </row>
    <row r="129" spans="1:10" x14ac:dyDescent="0.25">
      <c r="A129">
        <v>229</v>
      </c>
      <c r="B129" t="str">
        <f>orig_e_resources_table!B230</f>
        <v>ICON: International Coalition on Newspapers</v>
      </c>
      <c r="C129" t="str">
        <f>IF(orig_e_resources_table!C230="","",orig_e_resources_table!C230)</f>
        <v/>
      </c>
      <c r="D129" t="str">
        <f>orig_e_resources_table!D230</f>
        <v>http://icon.crl.edu/digitization.htm</v>
      </c>
      <c r="E129" t="str">
        <f>LOWER(IF(orig_e_resources_table!F230=1,TRUE,FALSE))</f>
        <v>true</v>
      </c>
      <c r="F129" t="str">
        <f>LOWER(IF(orig_e_resources_table!I230=1,TRUE,FALSE))</f>
        <v>false</v>
      </c>
      <c r="G129" t="str">
        <f>SUBSTITUTE(SUBSTITUTE(orig_e_resources_table!O230,CHAR(13),""),CHAR(10),"")</f>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v>
      </c>
      <c r="I129" t="str">
        <f t="shared" si="1"/>
        <v>xxx</v>
      </c>
      <c r="J129" t="s">
        <v>1200</v>
      </c>
    </row>
    <row r="130" spans="1:10" x14ac:dyDescent="0.25">
      <c r="A130">
        <v>215</v>
      </c>
      <c r="B130" t="str">
        <f>orig_e_resources_table!B216</f>
        <v>IEEE Standards</v>
      </c>
      <c r="C130" t="str">
        <f>IF(orig_e_resources_table!C216="","",orig_e_resources_table!C216)</f>
        <v>Institute of Electrical and Electronics Engineers</v>
      </c>
      <c r="D130" t="str">
        <f>orig_e_resources_table!D216</f>
        <v>http://ieeexplore.ieee.org/xpl/standards.jsp</v>
      </c>
      <c r="E130" t="str">
        <f>LOWER(IF(orig_e_resources_table!F216=1,TRUE,FALSE))</f>
        <v>true</v>
      </c>
      <c r="F130" t="str">
        <f>LOWER(IF(orig_e_resources_table!I216=1,TRUE,FALSE))</f>
        <v>true</v>
      </c>
      <c r="G130" t="str">
        <f>SUBSTITUTE(SUBSTITUTE(orig_e_resources_table!O216,CHAR(13),""),CHAR(10),"")</f>
        <v>Online access to standards published by the Institute of Electrical and Electronics Engineers. Search by standard number, keyword, or industry.</v>
      </c>
      <c r="I130" t="str">
        <f t="shared" ref="I130:I193" si="2">IF(E130="true","xxx","")</f>
        <v>xxx</v>
      </c>
      <c r="J130" t="s">
        <v>1210</v>
      </c>
    </row>
    <row r="131" spans="1:10" x14ac:dyDescent="0.25">
      <c r="A131">
        <v>107</v>
      </c>
      <c r="B131" t="str">
        <f>orig_e_resources_table!B108</f>
        <v>IEEE Xplore</v>
      </c>
      <c r="C131" t="str">
        <f>IF(orig_e_resources_table!C108="","",orig_e_resources_table!C108)</f>
        <v>Institute of Electrical and Electronics Engineers</v>
      </c>
      <c r="D131" t="str">
        <f>orig_e_resources_table!D108</f>
        <v>http://ieeexplore.ieee.org/</v>
      </c>
      <c r="E131" t="str">
        <f>LOWER(IF(orig_e_resources_table!F108=1,TRUE,FALSE))</f>
        <v>true</v>
      </c>
      <c r="F131" t="str">
        <f>LOWER(IF(orig_e_resources_table!I108=1,TRUE,FALSE))</f>
        <v>true</v>
      </c>
      <c r="G131" t="str">
        <f>SUBSTITUTE(SUBSTITUTE(orig_e_resources_table!O108,CHAR(13),""),CHAR(10),"")</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c r="I131" t="str">
        <f t="shared" si="2"/>
        <v>xxx</v>
      </c>
      <c r="J131" t="s">
        <v>1218</v>
      </c>
    </row>
    <row r="132" spans="1:10" x14ac:dyDescent="0.25">
      <c r="A132">
        <v>248</v>
      </c>
      <c r="B132" t="str">
        <f>orig_e_resources_table!B249</f>
        <v>IIT Digital Repository</v>
      </c>
      <c r="C132" t="str">
        <f>IF(orig_e_resources_table!C249="","",orig_e_resources_table!C249)</f>
        <v>share.iit.edu</v>
      </c>
      <c r="D132" t="str">
        <f>orig_e_resources_table!D249</f>
        <v xml:space="preserve"> http://repository.iit.edu</v>
      </c>
      <c r="E132" t="str">
        <f>LOWER(IF(orig_e_resources_table!F249=1,TRUE,FALSE))</f>
        <v>true</v>
      </c>
      <c r="F132" t="str">
        <f>LOWER(IF(orig_e_resources_table!I249=1,TRUE,FALSE))</f>
        <v>true</v>
      </c>
      <c r="G132" t="str">
        <f>SUBSTITUTE(SUBSTITUTE(orig_e_resources_table!O249,CHAR(13),""),CHAR(10),"")</f>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c r="I132" t="str">
        <f t="shared" si="2"/>
        <v>xxx</v>
      </c>
      <c r="J132" t="s">
        <v>1219</v>
      </c>
    </row>
    <row r="133" spans="1:10" x14ac:dyDescent="0.25">
      <c r="A133">
        <v>110</v>
      </c>
      <c r="B133" t="str">
        <f>orig_e_resources_table!B111</f>
        <v>IIT Library Catalog</v>
      </c>
      <c r="C133" t="str">
        <f>IF(orig_e_resources_table!C111="","",orig_e_resources_table!C111)</f>
        <v/>
      </c>
      <c r="D133" t="str">
        <f>orig_e_resources_table!D111</f>
        <v>https://vufind.carli.illinois.edu/vf-iit/</v>
      </c>
      <c r="E133" t="str">
        <f>LOWER(IF(orig_e_resources_table!F111=1,TRUE,FALSE))</f>
        <v>true</v>
      </c>
      <c r="F133" t="str">
        <f>LOWER(IF(orig_e_resources_table!I111=1,TRUE,FALSE))</f>
        <v>false</v>
      </c>
      <c r="G133" t="str">
        <f>SUBSTITUTE(SUBSTITUTE(orig_e_resources_table!O111,CHAR(13),""),CHAR(10),"")</f>
        <v>Use the IIT Library Catalog to search for books, e-books, and print journals held by Paul V. Galvin Library and any of IIT's branch libraries. View your patron record at 'My Account' to see items checked out from IIT and I-Share libraries.</v>
      </c>
      <c r="I133" t="str">
        <f t="shared" si="2"/>
        <v>xxx</v>
      </c>
      <c r="J133" t="s">
        <v>1205</v>
      </c>
    </row>
    <row r="134" spans="1:10" x14ac:dyDescent="0.25">
      <c r="A134">
        <v>223</v>
      </c>
      <c r="B134" t="str">
        <f>orig_e_resources_table!B224</f>
        <v>Illinois Natural Resources Geospatial Data Clearinghouse</v>
      </c>
      <c r="C134" t="str">
        <f>IF(orig_e_resources_table!C224="","",orig_e_resources_table!C224)</f>
        <v>NULL</v>
      </c>
      <c r="D134" t="str">
        <f>orig_e_resources_table!D224</f>
        <v>http://www.isgs.uiuc.edu/nsdihome/</v>
      </c>
      <c r="E134" t="str">
        <f>LOWER(IF(orig_e_resources_table!F224=1,TRUE,FALSE))</f>
        <v>true</v>
      </c>
      <c r="F134" t="str">
        <f>LOWER(IF(orig_e_resources_table!I224=1,TRUE,FALSE))</f>
        <v>false</v>
      </c>
      <c r="G134" t="str">
        <f>SUBSTITUTE(SUBSTITUTE(orig_e_resources_table!O224,CHAR(13),""),CHAR(10),"")</f>
        <v>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v>
      </c>
      <c r="I134" t="str">
        <f t="shared" si="2"/>
        <v>xxx</v>
      </c>
      <c r="J134" t="s">
        <v>1200</v>
      </c>
    </row>
    <row r="135" spans="1:10" x14ac:dyDescent="0.25">
      <c r="A135">
        <v>111</v>
      </c>
      <c r="B135" t="str">
        <f>orig_e_resources_table!B112</f>
        <v>Immunology Abstracts</v>
      </c>
      <c r="C135" t="str">
        <f>IF(orig_e_resources_table!C112="","",orig_e_resources_table!C112)</f>
        <v/>
      </c>
      <c r="D135" t="str">
        <f>orig_e_resources_table!D112</f>
        <v>http://www.csa.com/htbin/dbrng.cgi?username=paulg&amp;access=paulg20&amp;db=immunology-set-c</v>
      </c>
      <c r="E135" t="str">
        <f>LOWER(IF(orig_e_resources_table!F112=1,TRUE,FALSE))</f>
        <v>false</v>
      </c>
      <c r="F135" t="str">
        <f>LOWER(IF(orig_e_resources_table!I112=1,TRUE,FALSE))</f>
        <v>true</v>
      </c>
      <c r="G135" t="str">
        <f>SUBSTITUTE(SUBSTITUTE(orig_e_resources_table!O112,CHAR(13),""),CHAR(10),"")</f>
        <v>Immunology Abstracts covers a wide range of topics in biomedical science, from cancer and vaccine research to immune deficiencies and autoimmunity. Studies relating to all aspects of immune systems in man and animals, in normal functions and disorders, are summarized.</v>
      </c>
      <c r="I135" t="str">
        <f t="shared" si="2"/>
        <v/>
      </c>
      <c r="J135" t="s">
        <v>1200</v>
      </c>
    </row>
    <row r="136" spans="1:10" x14ac:dyDescent="0.25">
      <c r="A136">
        <v>112</v>
      </c>
      <c r="B136" t="str">
        <f>orig_e_resources_table!B113</f>
        <v>Industrial and Applied Microbiology Abstracts (Microbiology A)</v>
      </c>
      <c r="C136" t="str">
        <f>IF(orig_e_resources_table!C113="","",orig_e_resources_table!C113)</f>
        <v/>
      </c>
      <c r="D136" t="str">
        <f>orig_e_resources_table!D113</f>
        <v>http://www.csa.com/htbin/dbrng.cgi?username=paulg&amp;access=paulg20&amp;db=microbiology-a-set-c</v>
      </c>
      <c r="E136" t="str">
        <f>LOWER(IF(orig_e_resources_table!F113=1,TRUE,FALSE))</f>
        <v>false</v>
      </c>
      <c r="F136" t="str">
        <f>LOWER(IF(orig_e_resources_table!I113=1,TRUE,FALSE))</f>
        <v>true</v>
      </c>
      <c r="G136" t="str">
        <f>SUBSTITUTE(SUBSTITUTE(orig_e_resources_table!O113,CHAR(13),""),CHAR(10),"")</f>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c r="I136" t="str">
        <f t="shared" si="2"/>
        <v/>
      </c>
      <c r="J136" t="s">
        <v>1200</v>
      </c>
    </row>
    <row r="137" spans="1:10" x14ac:dyDescent="0.25">
      <c r="A137">
        <v>113</v>
      </c>
      <c r="B137" t="str">
        <f>orig_e_resources_table!B114</f>
        <v>Information Bridge</v>
      </c>
      <c r="C137" t="str">
        <f>IF(orig_e_resources_table!C114="","",orig_e_resources_table!C114)</f>
        <v/>
      </c>
      <c r="D137" t="str">
        <f>orig_e_resources_table!D114</f>
        <v>http://www.osti.gov/bridge/index.jsp</v>
      </c>
      <c r="E137" t="str">
        <f>LOWER(IF(orig_e_resources_table!F114=1,TRUE,FALSE))</f>
        <v>true</v>
      </c>
      <c r="F137" t="str">
        <f>LOWER(IF(orig_e_resources_table!I114=1,TRUE,FALSE))</f>
        <v>false</v>
      </c>
      <c r="G137" t="str">
        <f>SUBSTITUTE(SUBSTITUTE(orig_e_resources_table!O114,CHAR(13),""),CHAR(10),"")</f>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c r="I137" t="str">
        <f t="shared" si="2"/>
        <v>xxx</v>
      </c>
      <c r="J137" t="s">
        <v>1200</v>
      </c>
    </row>
    <row r="138" spans="1:10" x14ac:dyDescent="0.25">
      <c r="A138">
        <v>114</v>
      </c>
      <c r="B138" t="str">
        <f>orig_e_resources_table!B115</f>
        <v>Information Please Almanac</v>
      </c>
      <c r="C138" t="str">
        <f>IF(orig_e_resources_table!C115="","",orig_e_resources_table!C115)</f>
        <v/>
      </c>
      <c r="D138" t="str">
        <f>orig_e_resources_table!D115</f>
        <v>http://www.infoplease.com/</v>
      </c>
      <c r="E138" t="str">
        <f>LOWER(IF(orig_e_resources_table!F115=1,TRUE,FALSE))</f>
        <v>true</v>
      </c>
      <c r="F138" t="str">
        <f>LOWER(IF(orig_e_resources_table!I115=1,TRUE,FALSE))</f>
        <v>false</v>
      </c>
      <c r="G138" t="str">
        <f>SUBSTITUTE(SUBSTITUTE(orig_e_resources_table!O115,CHAR(13),""),CHAR(10),"")</f>
        <v>Online version of the popular almanac. Information Please has been providing authoritative answers to all kinds of factual questions since 1938 -- first as a popular radio quiz show, then starting in 1947 as an annual almanac, and since 1998 on the Internet.</v>
      </c>
      <c r="I138" t="str">
        <f t="shared" si="2"/>
        <v>xxx</v>
      </c>
      <c r="J138" t="s">
        <v>1200</v>
      </c>
    </row>
    <row r="139" spans="1:10" x14ac:dyDescent="0.25">
      <c r="A139">
        <v>115</v>
      </c>
      <c r="B139" t="str">
        <f>orig_e_resources_table!B116</f>
        <v>Infotrac</v>
      </c>
      <c r="C139" t="str">
        <f>IF(orig_e_resources_table!C116="","",orig_e_resources_table!C116)</f>
        <v/>
      </c>
      <c r="D139" t="str">
        <f>orig_e_resources_table!D116</f>
        <v>http://infotrac.galegroup.com/itweb/chic40381</v>
      </c>
      <c r="E139" t="str">
        <f>LOWER(IF(orig_e_resources_table!F116=1,TRUE,FALSE))</f>
        <v>false</v>
      </c>
      <c r="F139" t="str">
        <f>LOWER(IF(orig_e_resources_table!I116=1,TRUE,FALSE))</f>
        <v>true</v>
      </c>
      <c r="G139" t="str">
        <f>SUBSTITUTE(SUBSTITUTE(orig_e_resources_table!O116,CHAR(13),""),CHAR(10),"")</f>
        <v/>
      </c>
      <c r="I139" t="str">
        <f t="shared" si="2"/>
        <v/>
      </c>
      <c r="J139" t="s">
        <v>1200</v>
      </c>
    </row>
    <row r="140" spans="1:10" x14ac:dyDescent="0.25">
      <c r="A140">
        <v>116</v>
      </c>
      <c r="B140" t="str">
        <f>orig_e_resources_table!B117</f>
        <v>Inspec</v>
      </c>
      <c r="C140" t="str">
        <f>IF(orig_e_resources_table!C117="","",orig_e_resources_table!C117)</f>
        <v/>
      </c>
      <c r="D140" t="str">
        <f>orig_e_resources_table!D117</f>
        <v>http://apps.webofknowledge.com/INSPEC_GeneralSearch_input.do?product=INSPEC&amp;search_mode=GeneralSearch</v>
      </c>
      <c r="E140" t="str">
        <f>LOWER(IF(orig_e_resources_table!F117=1,TRUE,FALSE))</f>
        <v>true</v>
      </c>
      <c r="F140" t="str">
        <f>LOWER(IF(orig_e_resources_table!I117=1,TRUE,FALSE))</f>
        <v>true</v>
      </c>
      <c r="G140" t="str">
        <f>SUBSTITUTE(SUBSTITUTE(orig_e_resources_table!O117,CHAR(13),""),CHAR(10),"")</f>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c r="I140" t="str">
        <f t="shared" si="2"/>
        <v>xxx</v>
      </c>
      <c r="J140" t="s">
        <v>1200</v>
      </c>
    </row>
    <row r="141" spans="1:10" x14ac:dyDescent="0.25">
      <c r="A141">
        <v>117</v>
      </c>
      <c r="B141" t="str">
        <f>orig_e_resources_table!B118</f>
        <v>Internet Public Library Online</v>
      </c>
      <c r="C141" t="str">
        <f>IF(orig_e_resources_table!C118="","",orig_e_resources_table!C118)</f>
        <v/>
      </c>
      <c r="D141" t="str">
        <f>orig_e_resources_table!D118</f>
        <v>http://www.ipl.org/div/subject/browse/hum60.60.00/</v>
      </c>
      <c r="E141" t="str">
        <f>LOWER(IF(orig_e_resources_table!F118=1,TRUE,FALSE))</f>
        <v>true</v>
      </c>
      <c r="F141" t="str">
        <f>LOWER(IF(orig_e_resources_table!I118=1,TRUE,FALSE))</f>
        <v>false</v>
      </c>
      <c r="G141" t="str">
        <f>SUBSTITUTE(SUBSTITUTE(orig_e_resources_table!O118,CHAR(13),""),CHAR(10),"")</f>
        <v>A comprehensive directory of web sites covering all academic subject areas. Provides links to many online reference sources, including dictionaries, encyclopedias, biographies, census data, and style/writing guides. Many e-book collections are covered as well.</v>
      </c>
      <c r="I141" t="str">
        <f t="shared" si="2"/>
        <v>xxx</v>
      </c>
      <c r="J141" t="s">
        <v>1220</v>
      </c>
    </row>
    <row r="142" spans="1:10" x14ac:dyDescent="0.25">
      <c r="A142">
        <v>118</v>
      </c>
      <c r="B142" t="str">
        <f>orig_e_resources_table!B119</f>
        <v>Investext</v>
      </c>
      <c r="C142" t="str">
        <f>IF(orig_e_resources_table!C119="","",orig_e_resources_table!C119)</f>
        <v/>
      </c>
      <c r="D142" t="str">
        <f>orig_e_resources_table!D119</f>
        <v>http://infotrac.galegroup.com/itw/infomark/0/1/1/purl=rc6_RBW?sw_aep=chic40381</v>
      </c>
      <c r="E142" t="str">
        <f>LOWER(IF(orig_e_resources_table!F119=1,TRUE,FALSE))</f>
        <v>false</v>
      </c>
      <c r="F142" t="str">
        <f>LOWER(IF(orig_e_resources_table!I119=1,TRUE,FALSE))</f>
        <v>true</v>
      </c>
      <c r="G142" t="str">
        <f>SUBSTITUTE(SUBSTITUTE(orig_e_resources_table!O119,CHAR(13),""),CHAR(10),"")</f>
        <v/>
      </c>
      <c r="I142" t="str">
        <f t="shared" si="2"/>
        <v/>
      </c>
      <c r="J142" t="s">
        <v>1200</v>
      </c>
    </row>
    <row r="143" spans="1:10" x14ac:dyDescent="0.25">
      <c r="A143">
        <v>119</v>
      </c>
      <c r="B143" t="str">
        <f>orig_e_resources_table!B120</f>
        <v>IOP</v>
      </c>
      <c r="C143" t="str">
        <f>IF(orig_e_resources_table!C120="","",orig_e_resources_table!C120)</f>
        <v>Institute of Physics Journals</v>
      </c>
      <c r="D143" t="str">
        <f>orig_e_resources_table!D120</f>
        <v>http://iopscience.iop.org</v>
      </c>
      <c r="E143" t="str">
        <f>LOWER(IF(orig_e_resources_table!F120=1,TRUE,FALSE))</f>
        <v>true</v>
      </c>
      <c r="F143" t="str">
        <f>LOWER(IF(orig_e_resources_table!I120=1,TRUE,FALSE))</f>
        <v>true</v>
      </c>
      <c r="G143" t="str">
        <f>SUBSTITUTE(SUBSTITUTE(orig_e_resources_table!O120,CHAR(13),""),CHAR(10),"")</f>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c r="I143" t="str">
        <f t="shared" si="2"/>
        <v>xxx</v>
      </c>
      <c r="J143" t="s">
        <v>1200</v>
      </c>
    </row>
    <row r="144" spans="1:10" x14ac:dyDescent="0.25">
      <c r="A144">
        <v>108</v>
      </c>
      <c r="B144" t="str">
        <f>orig_e_resources_table!B109</f>
        <v>I-Share Catalog</v>
      </c>
      <c r="C144" t="str">
        <f>IF(orig_e_resources_table!C109="","",orig_e_resources_table!C109)</f>
        <v/>
      </c>
      <c r="D144" t="str">
        <f>orig_e_resources_table!D109</f>
        <v>http://vufind.carli.illinois.edu/vf/</v>
      </c>
      <c r="E144" t="str">
        <f>LOWER(IF(orig_e_resources_table!F109=1,TRUE,FALSE))</f>
        <v>true</v>
      </c>
      <c r="F144" t="str">
        <f>LOWER(IF(orig_e_resources_table!I109=1,TRUE,FALSE))</f>
        <v>false</v>
      </c>
      <c r="G144" t="str">
        <f>SUBSTITUTE(SUBSTITUTE(orig_e_resources_table!O109,CHAR(13),""),CHAR(10),"")</f>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c r="I144" t="str">
        <f t="shared" si="2"/>
        <v>xxx</v>
      </c>
      <c r="J144" t="s">
        <v>1204</v>
      </c>
    </row>
    <row r="145" spans="1:10" x14ac:dyDescent="0.25">
      <c r="A145">
        <v>121</v>
      </c>
      <c r="B145" t="str">
        <f>orig_e_resources_table!B122</f>
        <v>JSTOR</v>
      </c>
      <c r="C145" t="str">
        <f>IF(orig_e_resources_table!C122="","",orig_e_resources_table!C122)</f>
        <v/>
      </c>
      <c r="D145" t="str">
        <f>orig_e_resources_table!D122</f>
        <v>http://www.jstor.org</v>
      </c>
      <c r="E145" t="str">
        <f>LOWER(IF(orig_e_resources_table!F122=1,TRUE,FALSE))</f>
        <v>true</v>
      </c>
      <c r="F145" t="str">
        <f>LOWER(IF(orig_e_resources_table!I122=1,TRUE,FALSE))</f>
        <v>true</v>
      </c>
      <c r="G145" t="str">
        <f>SUBSTITUTE(SUBSTITUTE(orig_e_resources_table!O122,CHAR(13),""),CHAR(10),"")</f>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c r="I145" t="str">
        <f t="shared" si="2"/>
        <v>xxx</v>
      </c>
      <c r="J145" t="s">
        <v>1200</v>
      </c>
    </row>
    <row r="146" spans="1:10" x14ac:dyDescent="0.25">
      <c r="A146">
        <v>249</v>
      </c>
      <c r="B146" t="str">
        <f>orig_e_resources_table!B250</f>
        <v>Legal Resources</v>
      </c>
      <c r="C146" t="str">
        <f>IF(orig_e_resources_table!C250="","",orig_e_resources_table!C250)</f>
        <v>NULL</v>
      </c>
      <c r="D146" t="str">
        <f>orig_e_resources_table!D250</f>
        <v>http://kentlaw.iit.edu/library</v>
      </c>
      <c r="E146" t="str">
        <f>LOWER(IF(orig_e_resources_table!F250=1,TRUE,FALSE))</f>
        <v>true</v>
      </c>
      <c r="F146" t="str">
        <f>LOWER(IF(orig_e_resources_table!I250=1,TRUE,FALSE))</f>
        <v>false</v>
      </c>
      <c r="G146" t="str">
        <f>SUBSTITUTE(SUBSTITUTE(orig_e_resources_table!O250,CHAR(13),""),CHAR(10),"")</f>
        <v xml:space="preserve">IIT's Kent College of Law provides access to Westlaw, HeinOnline, and other legal resources through the Downtown Campus Library. Law students should access these resources there. </v>
      </c>
      <c r="I146" t="str">
        <f t="shared" si="2"/>
        <v>xxx</v>
      </c>
    </row>
    <row r="147" spans="1:10" x14ac:dyDescent="0.25">
      <c r="A147">
        <v>122</v>
      </c>
      <c r="B147" t="str">
        <f>orig_e_resources_table!B123</f>
        <v>LexisNexis Academic Universe</v>
      </c>
      <c r="C147" t="str">
        <f>IF(orig_e_resources_table!C123="","",orig_e_resources_table!C123)</f>
        <v/>
      </c>
      <c r="D147" t="str">
        <f>orig_e_resources_table!D123</f>
        <v>http://www.lexisnexis.com/us/lnacademic</v>
      </c>
      <c r="E147" t="str">
        <f>LOWER(IF(orig_e_resources_table!F123=1,TRUE,FALSE))</f>
        <v>true</v>
      </c>
      <c r="F147" t="str">
        <f>LOWER(IF(orig_e_resources_table!I123=1,TRUE,FALSE))</f>
        <v>true</v>
      </c>
      <c r="G147" t="str">
        <f>SUBSTITUTE(SUBSTITUTE(orig_e_resources_table!O123,CHAR(13),""),CHAR(10),"")</f>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c r="I147" t="str">
        <f t="shared" si="2"/>
        <v>xxx</v>
      </c>
      <c r="J147" t="s">
        <v>1200</v>
      </c>
    </row>
    <row r="148" spans="1:10" x14ac:dyDescent="0.25">
      <c r="A148">
        <v>123</v>
      </c>
      <c r="B148" t="str">
        <f>orig_e_resources_table!B124</f>
        <v>Liebert Online</v>
      </c>
      <c r="C148" t="str">
        <f>IF(orig_e_resources_table!C124="","",orig_e_resources_table!C124)</f>
        <v/>
      </c>
      <c r="D148" t="str">
        <f>orig_e_resources_table!D124</f>
        <v>http://www.liebertonline.com/</v>
      </c>
      <c r="E148" t="str">
        <f>LOWER(IF(orig_e_resources_table!F124=1,TRUE,FALSE))</f>
        <v>true</v>
      </c>
      <c r="F148" t="str">
        <f>LOWER(IF(orig_e_resources_table!I124=1,TRUE,FALSE))</f>
        <v>true</v>
      </c>
      <c r="G148" t="str">
        <f>SUBSTITUTE(SUBSTITUTE(orig_e_resources_table!O124,CHAR(13),""),CHAR(10),"")</f>
        <v>Liebert Online provides electronic access to peer-reviewed journals published by Mary Ann Liebert, Inc. Includes over 30,000 papers from more than 60 journals, all full-text searchable and linked to external bibliographic databases up to 2009.</v>
      </c>
      <c r="I148" t="str">
        <f t="shared" si="2"/>
        <v>xxx</v>
      </c>
      <c r="J148" t="s">
        <v>1200</v>
      </c>
    </row>
    <row r="149" spans="1:10" x14ac:dyDescent="0.25">
      <c r="A149">
        <v>124</v>
      </c>
      <c r="B149" t="str">
        <f>orig_e_resources_table!B125</f>
        <v>LISTA</v>
      </c>
      <c r="C149" t="str">
        <f>IF(orig_e_resources_table!C125="","",orig_e_resources_table!C125)</f>
        <v>Library, Information Science &amp;amp; Technology Abstracts</v>
      </c>
      <c r="D149" t="str">
        <f>orig_e_resources_table!D125</f>
        <v>http://search.EBSCOhost.com/login.asp?profile=web&amp;defaultdb=lxh</v>
      </c>
      <c r="E149" t="str">
        <f>LOWER(IF(orig_e_resources_table!F125=1,TRUE,FALSE))</f>
        <v>true</v>
      </c>
      <c r="F149" t="str">
        <f>LOWER(IF(orig_e_resources_table!I125=1,TRUE,FALSE))</f>
        <v>true</v>
      </c>
      <c r="G149" t="str">
        <f>SUBSTITUTE(SUBSTITUTE(orig_e_resources_table!O125,CHAR(13),""),CHAR(10),"")</f>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c r="I149" t="str">
        <f t="shared" si="2"/>
        <v>xxx</v>
      </c>
      <c r="J149" t="s">
        <v>1200</v>
      </c>
    </row>
    <row r="150" spans="1:10" x14ac:dyDescent="0.25">
      <c r="A150">
        <v>125</v>
      </c>
      <c r="B150" t="str">
        <f>orig_e_resources_table!B126</f>
        <v>MADCAD</v>
      </c>
      <c r="C150" t="str">
        <f>IF(orig_e_resources_table!C126="","",orig_e_resources_table!C126)</f>
        <v/>
      </c>
      <c r="D150" t="str">
        <f>orig_e_resources_table!D126</f>
        <v>http://www.madcad.com/madcad/login.php</v>
      </c>
      <c r="E150" t="str">
        <f>LOWER(IF(orig_e_resources_table!F126=1,TRUE,FALSE))</f>
        <v>true</v>
      </c>
      <c r="F150" t="str">
        <f>LOWER(IF(orig_e_resources_table!I126=1,TRUE,FALSE))</f>
        <v>true</v>
      </c>
      <c r="G150" t="str">
        <f>SUBSTITUTE(SUBSTITUTE(orig_e_resources_table!O126,CHAR(13),""),CHAR(10),"")</f>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c r="I150" t="str">
        <f t="shared" si="2"/>
        <v>xxx</v>
      </c>
      <c r="J150" t="s">
        <v>1210</v>
      </c>
    </row>
    <row r="151" spans="1:10" x14ac:dyDescent="0.25">
      <c r="A151">
        <v>126</v>
      </c>
      <c r="B151" t="str">
        <f>orig_e_resources_table!B127</f>
        <v>Making of Modern Law: Legal Treatises 1800-1926</v>
      </c>
      <c r="C151" t="str">
        <f>IF(orig_e_resources_table!C127="","",orig_e_resources_table!C127)</f>
        <v/>
      </c>
      <c r="D151" t="str">
        <f>orig_e_resources_table!D127</f>
        <v>http://find.galegroup.com/menu/start?userGroupName=chic40381&amp;prod=MOML</v>
      </c>
      <c r="E151" t="str">
        <f>LOWER(IF(orig_e_resources_table!F127=1,TRUE,FALSE))</f>
        <v>true</v>
      </c>
      <c r="F151" t="str">
        <f>LOWER(IF(orig_e_resources_table!I127=1,TRUE,FALSE))</f>
        <v>true</v>
      </c>
      <c r="G151" t="str">
        <f>SUBSTITUTE(SUBSTITUTE(orig_e_resources_table!O127,CHAR(13),""),CHAR(10),"")</f>
        <v>Provides digital images on every page of 22,000 legal treatises on U.S. and British law published from 1800 through 1926. Full-text searching on more than 10 million pages is available.</v>
      </c>
      <c r="I151" t="str">
        <f t="shared" si="2"/>
        <v>xxx</v>
      </c>
      <c r="J151" t="s">
        <v>1200</v>
      </c>
    </row>
    <row r="152" spans="1:10" x14ac:dyDescent="0.25">
      <c r="A152">
        <v>246</v>
      </c>
      <c r="B152" t="str">
        <f>orig_e_resources_table!B247</f>
        <v>Mango Languages</v>
      </c>
      <c r="C152" t="str">
        <f>IF(orig_e_resources_table!C247="","",orig_e_resources_table!C247)</f>
        <v>NULL</v>
      </c>
      <c r="D152" t="str">
        <f>orig_e_resources_table!D247</f>
        <v>http://libraries.mangolanguages.com/iit/start</v>
      </c>
      <c r="E152" t="str">
        <f>LOWER(IF(orig_e_resources_table!F247=1,TRUE,FALSE))</f>
        <v>true</v>
      </c>
      <c r="F152" t="str">
        <f>LOWER(IF(orig_e_resources_table!I247=1,TRUE,FALSE))</f>
        <v>true</v>
      </c>
      <c r="G152" t="str">
        <f>SUBSTITUTE(SUBSTITUTE(orig_e_resources_table!O247,CHAR(13),""),CHAR(10),"")</f>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c r="I152" t="str">
        <f t="shared" si="2"/>
        <v>xxx</v>
      </c>
      <c r="J152" t="s">
        <v>1206</v>
      </c>
    </row>
    <row r="153" spans="1:10" x14ac:dyDescent="0.25">
      <c r="A153">
        <v>127</v>
      </c>
      <c r="B153" t="str">
        <f>orig_e_resources_table!B128</f>
        <v>MarketResearch.com Academic</v>
      </c>
      <c r="C153" t="str">
        <f>IF(orig_e_resources_table!C128="","",orig_e_resources_table!C128)</f>
        <v/>
      </c>
      <c r="D153" t="str">
        <f>orig_e_resources_table!D128</f>
        <v>http://academic.marketresearch.com/index.asp?prid=920953817</v>
      </c>
      <c r="E153" t="str">
        <f>LOWER(IF(orig_e_resources_table!F128=1,TRUE,FALSE))</f>
        <v>true</v>
      </c>
      <c r="F153" t="str">
        <f>LOWER(IF(orig_e_resources_table!I128=1,TRUE,FALSE))</f>
        <v>true</v>
      </c>
      <c r="G153" t="str">
        <f>SUBSTITUTE(SUBSTITUTE(orig_e_resources_table!O128,CHAR(13),""),CHAR(10),"")</f>
        <v>Provides market intelligence on consumer demographics, market size and growth trends, industry forces and structure, product trends, competitive environment analysis, and company profiles.</v>
      </c>
      <c r="I153" t="str">
        <f t="shared" si="2"/>
        <v>xxx</v>
      </c>
      <c r="J153" t="s">
        <v>1200</v>
      </c>
    </row>
    <row r="154" spans="1:10" x14ac:dyDescent="0.25">
      <c r="A154">
        <v>128</v>
      </c>
      <c r="B154" t="str">
        <f>orig_e_resources_table!B129</f>
        <v>Materials Business File</v>
      </c>
      <c r="C154" t="str">
        <f>IF(orig_e_resources_table!C129="","",orig_e_resources_table!C129)</f>
        <v/>
      </c>
      <c r="D154" t="str">
        <f>orig_e_resources_table!D129</f>
        <v>http://www.csa.com/htbin/dbrng.cgi?username=paulg&amp;access=paulg20&amp;db=mbf-set-c</v>
      </c>
      <c r="E154" t="str">
        <f>LOWER(IF(orig_e_resources_table!F129=1,TRUE,FALSE))</f>
        <v>false</v>
      </c>
      <c r="F154" t="str">
        <f>LOWER(IF(orig_e_resources_table!I129=1,TRUE,FALSE))</f>
        <v>true</v>
      </c>
      <c r="G154" t="str">
        <f>SUBSTITUTE(SUBSTITUTE(orig_e_resources_table!O129,CHAR(13),""),CHAR(10),"")</f>
        <v>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v>
      </c>
      <c r="I154" t="str">
        <f t="shared" si="2"/>
        <v/>
      </c>
      <c r="J154" t="s">
        <v>1200</v>
      </c>
    </row>
    <row r="155" spans="1:10" x14ac:dyDescent="0.25">
      <c r="A155">
        <v>129</v>
      </c>
      <c r="B155" t="str">
        <f>orig_e_resources_table!B130</f>
        <v>MathSciNet</v>
      </c>
      <c r="C155" t="str">
        <f>IF(orig_e_resources_table!C130="","",orig_e_resources_table!C130)</f>
        <v/>
      </c>
      <c r="D155" t="str">
        <f>orig_e_resources_table!D130</f>
        <v>http://www.ams.org/mathscinet/search</v>
      </c>
      <c r="E155" t="str">
        <f>LOWER(IF(orig_e_resources_table!F130=1,TRUE,FALSE))</f>
        <v>true</v>
      </c>
      <c r="F155" t="str">
        <f>LOWER(IF(orig_e_resources_table!I130=1,TRUE,FALSE))</f>
        <v>true</v>
      </c>
      <c r="G155" t="str">
        <f>SUBSTITUTE(SUBSTITUTE(orig_e_resources_table!O130,CHAR(13),""),CHAR(10),"")</f>
        <v>Provided by the American Mathematical Society, MathSciNet is a searchable database of the world's scholarly mathematical literature since 1940, including reviews, abstracts and bibliographic information.</v>
      </c>
      <c r="I155" t="str">
        <f t="shared" si="2"/>
        <v>xxx</v>
      </c>
      <c r="J155" t="s">
        <v>1200</v>
      </c>
    </row>
    <row r="156" spans="1:10" x14ac:dyDescent="0.25">
      <c r="A156">
        <v>130</v>
      </c>
      <c r="B156" t="str">
        <f>orig_e_resources_table!B131</f>
        <v>Mechanical &amp;amp; Transportation Engineering Abstracts</v>
      </c>
      <c r="C156" t="str">
        <f>IF(orig_e_resources_table!C131="","",orig_e_resources_table!C131)</f>
        <v/>
      </c>
      <c r="D156" t="str">
        <f>orig_e_resources_table!D131</f>
        <v>http://www.csa.com/htbin/dbrng.cgi?username=paulg&amp;access=paulg20&amp;db=mechtrans-set-c</v>
      </c>
      <c r="E156" t="str">
        <f>LOWER(IF(orig_e_resources_table!F131=1,TRUE,FALSE))</f>
        <v>false</v>
      </c>
      <c r="F156" t="str">
        <f>LOWER(IF(orig_e_resources_table!I131=1,TRUE,FALSE))</f>
        <v>true</v>
      </c>
      <c r="G156" t="str">
        <f>SUBSTITUTE(SUBSTITUTE(orig_e_resources_table!O131,CHAR(13),""),CHAR(10),"")</f>
        <v>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v>
      </c>
      <c r="I156" t="str">
        <f t="shared" si="2"/>
        <v/>
      </c>
      <c r="J156" t="s">
        <v>1200</v>
      </c>
    </row>
    <row r="157" spans="1:10" x14ac:dyDescent="0.25">
      <c r="A157">
        <v>131</v>
      </c>
      <c r="B157" t="str">
        <f>orig_e_resources_table!B132</f>
        <v>Medical and Pharmaceutical Biotechnology Abstracts</v>
      </c>
      <c r="C157" t="str">
        <f>IF(orig_e_resources_table!C132="","",orig_e_resources_table!C132)</f>
        <v/>
      </c>
      <c r="D157" t="str">
        <f>orig_e_resources_table!D132</f>
        <v>http://www.csa.com/htbin/dbrng.cgi?username=paulg&amp;access=paulg20&amp;db=medical-pharmaceutical-set-c</v>
      </c>
      <c r="E157" t="str">
        <f>LOWER(IF(orig_e_resources_table!F132=1,TRUE,FALSE))</f>
        <v>false</v>
      </c>
      <c r="F157" t="str">
        <f>LOWER(IF(orig_e_resources_table!I132=1,TRUE,FALSE))</f>
        <v>true</v>
      </c>
      <c r="G157" t="str">
        <f>SUBSTITUTE(SUBSTITUTE(orig_e_resources_table!O132,CHAR(13),""),CHAR(10),"")</f>
        <v/>
      </c>
      <c r="I157" t="str">
        <f t="shared" si="2"/>
        <v/>
      </c>
      <c r="J157" t="s">
        <v>1200</v>
      </c>
    </row>
    <row r="158" spans="1:10" x14ac:dyDescent="0.25">
      <c r="A158">
        <v>132</v>
      </c>
      <c r="B158" t="str">
        <f>orig_e_resources_table!B133</f>
        <v>MEDLINE</v>
      </c>
      <c r="C158" t="str">
        <f>IF(orig_e_resources_table!C133="","",orig_e_resources_table!C133)</f>
        <v/>
      </c>
      <c r="D158" t="str">
        <f>orig_e_resources_table!D133</f>
        <v>http://newfirstsearch.oclc.org/dbname=MEDLINE;FSIP</v>
      </c>
      <c r="E158" t="str">
        <f>LOWER(IF(orig_e_resources_table!F133=1,TRUE,FALSE))</f>
        <v>true</v>
      </c>
      <c r="F158" t="str">
        <f>LOWER(IF(orig_e_resources_table!I133=1,TRUE,FALSE))</f>
        <v>true</v>
      </c>
      <c r="G158" t="str">
        <f>SUBSTITUTE(SUBSTITUTE(orig_e_resources_table!O133,CHAR(13),""),CHAR(10),"")</f>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c r="I158" t="str">
        <f t="shared" si="2"/>
        <v>xxx</v>
      </c>
      <c r="J158" t="s">
        <v>1200</v>
      </c>
    </row>
    <row r="159" spans="1:10" x14ac:dyDescent="0.25">
      <c r="A159">
        <v>133</v>
      </c>
      <c r="B159" t="str">
        <f>orig_e_resources_table!B134</f>
        <v>Medline Plus</v>
      </c>
      <c r="C159" t="str">
        <f>IF(orig_e_resources_table!C134="","",orig_e_resources_table!C134)</f>
        <v/>
      </c>
      <c r="D159" t="str">
        <f>orig_e_resources_table!D134</f>
        <v>http://medlineplus.gov/</v>
      </c>
      <c r="E159" t="str">
        <f>LOWER(IF(orig_e_resources_table!F134=1,TRUE,FALSE))</f>
        <v>true</v>
      </c>
      <c r="F159" t="str">
        <f>LOWER(IF(orig_e_resources_table!I134=1,TRUE,FALSE))</f>
        <v>false</v>
      </c>
      <c r="G159" t="str">
        <f>SUBSTITUTE(SUBSTITUTE(orig_e_resources_table!O134,CHAR(13),""),CHAR(10),"")</f>
        <v>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v>
      </c>
      <c r="I159" t="str">
        <f t="shared" si="2"/>
        <v>xxx</v>
      </c>
      <c r="J159" t="s">
        <v>1200</v>
      </c>
    </row>
    <row r="160" spans="1:10" x14ac:dyDescent="0.25">
      <c r="A160">
        <v>134</v>
      </c>
      <c r="B160" t="str">
        <f>orig_e_resources_table!B135</f>
        <v>Mental Measurements Yearbook / Tests in Print</v>
      </c>
      <c r="C160" t="str">
        <f>IF(orig_e_resources_table!C135="","",orig_e_resources_table!C135)</f>
        <v/>
      </c>
      <c r="D160" t="str">
        <f>orig_e_resources_table!D135</f>
        <v>http://search.EBSCOhost.com/login.asp?profile=ehost&amp;defaultdb=mmt</v>
      </c>
      <c r="E160" t="str">
        <f>LOWER(IF(orig_e_resources_table!F135=1,TRUE,FALSE))</f>
        <v>true</v>
      </c>
      <c r="F160" t="str">
        <f>LOWER(IF(orig_e_resources_table!I135=1,TRUE,FALSE))</f>
        <v>true</v>
      </c>
      <c r="G160" t="str">
        <f>SUBSTITUTE(SUBSTITUTE(orig_e_resources_table!O135,CHAR(13),""),CHAR(10),"")</f>
        <v>Mental Measurements Yearbook contains full text information and reviews of all English-language standardized tests covering educational skills, personality, vocational aptitude, psychology, and related areas.</v>
      </c>
      <c r="I160" t="str">
        <f t="shared" si="2"/>
        <v>xxx</v>
      </c>
      <c r="J160" t="s">
        <v>1200</v>
      </c>
    </row>
    <row r="161" spans="1:10" x14ac:dyDescent="0.25">
      <c r="A161">
        <v>240</v>
      </c>
      <c r="B161" t="str">
        <f>orig_e_resources_table!B241</f>
        <v>Mergent Online</v>
      </c>
      <c r="C161" t="str">
        <f>IF(orig_e_resources_table!C241="","",orig_e_resources_table!C241)</f>
        <v>NULL</v>
      </c>
      <c r="D161" t="str">
        <f>orig_e_resources_table!D241</f>
        <v>http://www.mergentonline.com/compsearch.asp</v>
      </c>
      <c r="E161" t="str">
        <f>LOWER(IF(orig_e_resources_table!F241=1,TRUE,FALSE))</f>
        <v>false</v>
      </c>
      <c r="F161" t="str">
        <f>LOWER(IF(orig_e_resources_table!I241=1,TRUE,FALSE))</f>
        <v>true</v>
      </c>
      <c r="G161" t="str">
        <f>SUBSTITUTE(SUBSTITUTE(orig_e_resources_table!O241,CHAR(13),""),CHAR(10),"")</f>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c r="I161" t="str">
        <f t="shared" si="2"/>
        <v/>
      </c>
      <c r="J161" t="s">
        <v>1200</v>
      </c>
    </row>
    <row r="162" spans="1:10" x14ac:dyDescent="0.25">
      <c r="A162">
        <v>137</v>
      </c>
      <c r="B162" t="str">
        <f>orig_e_resources_table!B138</f>
        <v>Merriam-Webster OnLine</v>
      </c>
      <c r="C162" t="str">
        <f>IF(orig_e_resources_table!C138="","",orig_e_resources_table!C138)</f>
        <v/>
      </c>
      <c r="D162" t="str">
        <f>orig_e_resources_table!D138</f>
        <v>http://www.m-w.com/</v>
      </c>
      <c r="E162" t="str">
        <f>LOWER(IF(orig_e_resources_table!F138=1,TRUE,FALSE))</f>
        <v>true</v>
      </c>
      <c r="F162" t="str">
        <f>LOWER(IF(orig_e_resources_table!I138=1,TRUE,FALSE))</f>
        <v>false</v>
      </c>
      <c r="G162" t="str">
        <f>SUBSTITUTE(SUBSTITUTE(orig_e_resources_table!O138,CHAR(13),""),CHAR(10),"")</f>
        <v>Online version of this essential dictionary.</v>
      </c>
      <c r="I162" t="str">
        <f t="shared" si="2"/>
        <v>xxx</v>
      </c>
      <c r="J162" t="s">
        <v>1207</v>
      </c>
    </row>
    <row r="163" spans="1:10" x14ac:dyDescent="0.25">
      <c r="A163">
        <v>138</v>
      </c>
      <c r="B163" t="str">
        <f>orig_e_resources_table!B139</f>
        <v>METADEX</v>
      </c>
      <c r="C163" t="str">
        <f>IF(orig_e_resources_table!C139="","",orig_e_resources_table!C139)</f>
        <v/>
      </c>
      <c r="D163" t="str">
        <f>orig_e_resources_table!D139</f>
        <v>http://www.csa.com/htbin/dbrng.cgi?username=paulg&amp;access=paulg20&amp;db=metadex-set-c</v>
      </c>
      <c r="E163" t="str">
        <f>LOWER(IF(orig_e_resources_table!F139=1,TRUE,FALSE))</f>
        <v>false</v>
      </c>
      <c r="F163" t="str">
        <f>LOWER(IF(orig_e_resources_table!I139=1,TRUE,FALSE))</f>
        <v>true</v>
      </c>
      <c r="G163" t="str">
        <f>SUBSTITUTE(SUBSTITUTE(orig_e_resources_table!O139,CHAR(13),""),CHAR(10),"")</f>
        <v>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v>
      </c>
      <c r="I163" t="str">
        <f t="shared" si="2"/>
        <v/>
      </c>
      <c r="J163" t="s">
        <v>1200</v>
      </c>
    </row>
    <row r="164" spans="1:10" x14ac:dyDescent="0.25">
      <c r="A164">
        <v>139</v>
      </c>
      <c r="B164" t="str">
        <f>orig_e_resources_table!B140</f>
        <v>MicroPatent Materials Patents</v>
      </c>
      <c r="C164" t="str">
        <f>IF(orig_e_resources_table!C140="","",orig_e_resources_table!C140)</f>
        <v/>
      </c>
      <c r="D164" t="str">
        <f>orig_e_resources_table!D140</f>
        <v>http://www.csa.com/htbin/dbrng.cgi?username=paulg&amp;access=paulg20&amp;db=micropatent-set-c</v>
      </c>
      <c r="E164" t="str">
        <f>LOWER(IF(orig_e_resources_table!F140=1,TRUE,FALSE))</f>
        <v>false</v>
      </c>
      <c r="F164" t="str">
        <f>LOWER(IF(orig_e_resources_table!I140=1,TRUE,FALSE))</f>
        <v>true</v>
      </c>
      <c r="G164" t="str">
        <f>SUBSTITUTE(SUBSTITUTE(orig_e_resources_table!O140,CHAR(13),""),CHAR(10),"")</f>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v>
      </c>
      <c r="I164" t="str">
        <f t="shared" si="2"/>
        <v/>
      </c>
      <c r="J164" t="s">
        <v>1200</v>
      </c>
    </row>
    <row r="165" spans="1:10" x14ac:dyDescent="0.25">
      <c r="A165">
        <v>140</v>
      </c>
      <c r="B165" t="str">
        <f>orig_e_resources_table!B141</f>
        <v>Military &amp;amp; Government Collection</v>
      </c>
      <c r="C165" t="str">
        <f>IF(orig_e_resources_table!C141="","",orig_e_resources_table!C141)</f>
        <v/>
      </c>
      <c r="D165" t="str">
        <f>orig_e_resources_table!D141</f>
        <v>http://search.EBSCOhost.com/login.asp?profile=web&amp;defaultdb=mth</v>
      </c>
      <c r="E165" t="str">
        <f>LOWER(IF(orig_e_resources_table!F141=1,TRUE,FALSE))</f>
        <v>true</v>
      </c>
      <c r="F165" t="str">
        <f>LOWER(IF(orig_e_resources_table!I141=1,TRUE,FALSE))</f>
        <v>true</v>
      </c>
      <c r="G165" t="str">
        <f>SUBSTITUTE(SUBSTITUTE(orig_e_resources_table!O141,CHAR(13),""),CHAR(10),"")</f>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c r="I165" t="str">
        <f t="shared" si="2"/>
        <v>xxx</v>
      </c>
      <c r="J165" t="s">
        <v>1200</v>
      </c>
    </row>
    <row r="166" spans="1:10" x14ac:dyDescent="0.25">
      <c r="A166">
        <v>141</v>
      </c>
      <c r="B166" t="str">
        <f>orig_e_resources_table!B142</f>
        <v>NanoEthicsBank</v>
      </c>
      <c r="C166" t="str">
        <f>IF(orig_e_resources_table!C142="","",orig_e_resources_table!C142)</f>
        <v/>
      </c>
      <c r="D166" t="str">
        <f>orig_e_resources_table!D142</f>
        <v>http://ethics.iit.edu/NanoEthicsBank/</v>
      </c>
      <c r="E166" t="str">
        <f>LOWER(IF(orig_e_resources_table!F142=1,TRUE,FALSE))</f>
        <v>true</v>
      </c>
      <c r="F166" t="str">
        <f>LOWER(IF(orig_e_resources_table!I142=1,TRUE,FALSE))</f>
        <v>false</v>
      </c>
      <c r="G166" t="str">
        <f>SUBSTITUTE(SUBSTITUTE(orig_e_resources_table!O142,CHAR(13),""),CHAR(10),"")</f>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c r="I166" t="str">
        <f t="shared" si="2"/>
        <v>xxx</v>
      </c>
      <c r="J166" t="s">
        <v>1200</v>
      </c>
    </row>
    <row r="167" spans="1:10" x14ac:dyDescent="0.25">
      <c r="A167">
        <v>142</v>
      </c>
      <c r="B167" t="str">
        <f>orig_e_resources_table!B143</f>
        <v>NASA Technical Reports Server</v>
      </c>
      <c r="C167" t="str">
        <f>IF(orig_e_resources_table!C143="","",orig_e_resources_table!C143)</f>
        <v>NTRS</v>
      </c>
      <c r="D167" t="str">
        <f>orig_e_resources_table!D143</f>
        <v>http://ntrs.nasa.gov/search.jsp</v>
      </c>
      <c r="E167" t="str">
        <f>LOWER(IF(orig_e_resources_table!F143=1,TRUE,FALSE))</f>
        <v>true</v>
      </c>
      <c r="F167" t="str">
        <f>LOWER(IF(orig_e_resources_table!I143=1,TRUE,FALSE))</f>
        <v>false</v>
      </c>
      <c r="G167" t="str">
        <f>SUBSTITUTE(SUBSTITUTE(orig_e_resources_table!O143,CHAR(13),""),CHAR(10),"")</f>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v>
      </c>
      <c r="I167" t="str">
        <f t="shared" si="2"/>
        <v>xxx</v>
      </c>
      <c r="J167" t="s">
        <v>1221</v>
      </c>
    </row>
    <row r="168" spans="1:10" x14ac:dyDescent="0.25">
      <c r="A168">
        <v>253</v>
      </c>
      <c r="B168" t="str">
        <f>orig_e_resources_table!B254</f>
        <v>National Academies Press</v>
      </c>
      <c r="C168" t="str">
        <f>IF(orig_e_resources_table!C254="","",orig_e_resources_table!C254)</f>
        <v>NULL</v>
      </c>
      <c r="D168" t="str">
        <f>orig_e_resources_table!D254</f>
        <v>http://www.nap.edu/</v>
      </c>
      <c r="E168" t="str">
        <f>LOWER(IF(orig_e_resources_table!F254=1,TRUE,FALSE))</f>
        <v>true</v>
      </c>
      <c r="F168" t="str">
        <f>LOWER(IF(orig_e_resources_table!I254=1,TRUE,FALSE))</f>
        <v>false</v>
      </c>
      <c r="G168" t="str">
        <f>SUBSTITUTE(SUBSTITUTE(orig_e_resources_table!O254,CHAR(13),""),CHAR(10),"")</f>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c r="I168" t="str">
        <f t="shared" si="2"/>
        <v>xxx</v>
      </c>
      <c r="J168" t="s">
        <v>1200</v>
      </c>
    </row>
    <row r="169" spans="1:10" x14ac:dyDescent="0.25">
      <c r="A169">
        <v>212</v>
      </c>
      <c r="B169" t="str">
        <f>orig_e_resources_table!B213</f>
        <v>National Geographic MapMachine</v>
      </c>
      <c r="C169" t="str">
        <f>IF(orig_e_resources_table!C213="","",orig_e_resources_table!C213)</f>
        <v>NULL</v>
      </c>
      <c r="D169" t="str">
        <f>orig_e_resources_table!D213</f>
        <v>http://plasma.nationalgeographic.com/mapmachine/index.html</v>
      </c>
      <c r="E169" t="str">
        <f>LOWER(IF(orig_e_resources_table!F213=1,TRUE,FALSE))</f>
        <v>true</v>
      </c>
      <c r="F169" t="str">
        <f>LOWER(IF(orig_e_resources_table!I213=1,TRUE,FALSE))</f>
        <v>false</v>
      </c>
      <c r="G169" t="str">
        <f>SUBSTITUTE(SUBSTITUTE(orig_e_resources_table!O213,CHAR(13),""),CHAR(10),"")</f>
        <v>Satellite photos, street maps, and more are available in this online atlas.</v>
      </c>
      <c r="I169" t="str">
        <f t="shared" si="2"/>
        <v>xxx</v>
      </c>
      <c r="J169" t="s">
        <v>1200</v>
      </c>
    </row>
    <row r="170" spans="1:10" x14ac:dyDescent="0.25">
      <c r="A170">
        <v>238</v>
      </c>
      <c r="B170" t="str">
        <f>orig_e_resources_table!B239</f>
        <v>National Map Viewer</v>
      </c>
      <c r="C170" t="str">
        <f>IF(orig_e_resources_table!C239="","",orig_e_resources_table!C239)</f>
        <v>NULL</v>
      </c>
      <c r="D170" t="str">
        <f>orig_e_resources_table!D239</f>
        <v>http://nmviewogc.cr.usgs.gov/</v>
      </c>
      <c r="E170" t="str">
        <f>LOWER(IF(orig_e_resources_table!F239=1,TRUE,FALSE))</f>
        <v>true</v>
      </c>
      <c r="F170" t="str">
        <f>LOWER(IF(orig_e_resources_table!I239=1,TRUE,FALSE))</f>
        <v>false</v>
      </c>
      <c r="G170" t="str">
        <f>SUBSTITUTE(SUBSTITUTE(orig_e_resources_table!O239,CHAR(13),""),CHAR(10),"")</f>
        <v>The National Map is a collaborative effort among the USGS and other Federal, State, and local partners to improve and deliver topographic information for the Nation. Combines high-quality geospatial data and information from the eight National Data sets.</v>
      </c>
      <c r="I170" t="str">
        <f t="shared" si="2"/>
        <v>xxx</v>
      </c>
      <c r="J170" t="s">
        <v>1222</v>
      </c>
    </row>
    <row r="171" spans="1:10" x14ac:dyDescent="0.25">
      <c r="A171">
        <v>143</v>
      </c>
      <c r="B171" t="str">
        <f>orig_e_resources_table!B144</f>
        <v>NBER</v>
      </c>
      <c r="C171" t="str">
        <f>IF(orig_e_resources_table!C144="","",orig_e_resources_table!C144)</f>
        <v>National Bureau of Economic Research Working Papers</v>
      </c>
      <c r="D171" t="str">
        <f>orig_e_resources_table!D144</f>
        <v>http://papers.nber.org/</v>
      </c>
      <c r="E171" t="str">
        <f>LOWER(IF(orig_e_resources_table!F144=1,TRUE,FALSE))</f>
        <v>true</v>
      </c>
      <c r="F171" t="str">
        <f>LOWER(IF(orig_e_resources_table!I144=1,TRUE,FALSE))</f>
        <v>true</v>
      </c>
      <c r="G171" t="str">
        <f>SUBSTITUTE(SUBSTITUTE(orig_e_resources_table!O144,CHAR(13),""),CHAR(10),"")</f>
        <v>Database of reports, papers, and other publications produced by the National Bureau of Economic Research -- a private, nonprofit, nonpartisan research organization.</v>
      </c>
      <c r="I171" t="str">
        <f t="shared" si="2"/>
        <v>xxx</v>
      </c>
      <c r="J171" t="s">
        <v>1200</v>
      </c>
    </row>
    <row r="172" spans="1:10" x14ac:dyDescent="0.25">
      <c r="A172">
        <v>146</v>
      </c>
      <c r="B172" t="str">
        <f>orig_e_resources_table!B147</f>
        <v>NewsBank - America's Newspapers</v>
      </c>
      <c r="C172" t="str">
        <f>IF(orig_e_resources_table!C147="","",orig_e_resources_table!C147)</f>
        <v/>
      </c>
      <c r="D172" t="str">
        <f>orig_e_resources_table!D147</f>
        <v>http://infoweb.newsbank.com</v>
      </c>
      <c r="E172" t="str">
        <f>LOWER(IF(orig_e_resources_table!F147=1,TRUE,FALSE))</f>
        <v>false</v>
      </c>
      <c r="F172" t="str">
        <f>LOWER(IF(orig_e_resources_table!I147=1,TRUE,FALSE))</f>
        <v>true</v>
      </c>
      <c r="G172" t="str">
        <f>SUBSTITUTE(SUBSTITUTE(orig_e_resources_table!O147,CHAR(13),""),CHAR(10),"")</f>
        <v>Electronic editions of over 700 valuable local, regional, and national U.S. newspapers and magazines. Each paper provides unique coverage of local and regional news, including companies, politics, sports, industries, cultural activities, and people in the community. Paid ads are excluded.</v>
      </c>
      <c r="I172" t="str">
        <f t="shared" si="2"/>
        <v/>
      </c>
      <c r="J172" t="s">
        <v>1203</v>
      </c>
    </row>
    <row r="173" spans="1:10" x14ac:dyDescent="0.25">
      <c r="A173">
        <v>147</v>
      </c>
      <c r="B173" t="str">
        <f>orig_e_resources_table!B148</f>
        <v>Newspaper Source</v>
      </c>
      <c r="C173" t="str">
        <f>IF(orig_e_resources_table!C148="","",orig_e_resources_table!C148)</f>
        <v/>
      </c>
      <c r="D173" t="str">
        <f>orig_e_resources_table!D148</f>
        <v>http://search.EBSCOhost.com/login.asp?profile=web&amp;defaultdb=nfh</v>
      </c>
      <c r="E173" t="str">
        <f>LOWER(IF(orig_e_resources_table!F148=1,TRUE,FALSE))</f>
        <v>true</v>
      </c>
      <c r="F173" t="str">
        <f>LOWER(IF(orig_e_resources_table!I148=1,TRUE,FALSE))</f>
        <v>true</v>
      </c>
      <c r="G173" t="str">
        <f>SUBSTITUTE(SUBSTITUTE(orig_e_resources_table!O148,CHAR(13),""),CHAR(10),"")</f>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c r="I173" t="str">
        <f t="shared" si="2"/>
        <v>xxx</v>
      </c>
      <c r="J173" t="s">
        <v>1203</v>
      </c>
    </row>
    <row r="174" spans="1:10" x14ac:dyDescent="0.25">
      <c r="A174">
        <v>237</v>
      </c>
      <c r="B174" t="str">
        <f>orig_e_resources_table!B238</f>
        <v>NSSN.org</v>
      </c>
      <c r="C174" t="str">
        <f>IF(orig_e_resources_table!C238="","",orig_e_resources_table!C238)</f>
        <v>National Resource for Global Standards</v>
      </c>
      <c r="D174" t="str">
        <f>orig_e_resources_table!D238</f>
        <v>http://www.nssn.org</v>
      </c>
      <c r="E174" t="str">
        <f>LOWER(IF(orig_e_resources_table!F238=1,TRUE,FALSE))</f>
        <v>true</v>
      </c>
      <c r="F174" t="str">
        <f>LOWER(IF(orig_e_resources_table!I238=1,TRUE,FALSE))</f>
        <v>false</v>
      </c>
      <c r="G174" t="str">
        <f>SUBSTITUTE(SUBSTITUTE(orig_e_resources_table!O238,CHAR(13),""),CHAR(10),"")</f>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v>
      </c>
      <c r="I174" t="str">
        <f t="shared" si="2"/>
        <v>xxx</v>
      </c>
      <c r="J174" t="s">
        <v>1210</v>
      </c>
    </row>
    <row r="175" spans="1:10" x14ac:dyDescent="0.25">
      <c r="A175">
        <v>148</v>
      </c>
      <c r="B175" t="str">
        <f>orig_e_resources_table!B149</f>
        <v>NTIS</v>
      </c>
      <c r="C175" t="str">
        <f>IF(orig_e_resources_table!C149="","",orig_e_resources_table!C149)</f>
        <v>National Technical Information Service</v>
      </c>
      <c r="D175" t="str">
        <f>orig_e_resources_table!D149</f>
        <v>http://www.ntis.gov/search/index.aspx</v>
      </c>
      <c r="E175" t="str">
        <f>LOWER(IF(orig_e_resources_table!F149=1,TRUE,FALSE))</f>
        <v>true</v>
      </c>
      <c r="F175" t="str">
        <f>LOWER(IF(orig_e_resources_table!I149=1,TRUE,FALSE))</f>
        <v>false</v>
      </c>
      <c r="G175" t="str">
        <f>SUBSTITUTE(SUBSTITUTE(orig_e_resources_table!O149,CHAR(13),""),CHAR(10),"")</f>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c r="I175" t="str">
        <f t="shared" si="2"/>
        <v>xxx</v>
      </c>
      <c r="J175" t="s">
        <v>1200</v>
      </c>
    </row>
    <row r="176" spans="1:10" x14ac:dyDescent="0.25">
      <c r="A176">
        <v>149</v>
      </c>
      <c r="B176" t="str">
        <f>orig_e_resources_table!B150</f>
        <v>Nucleic Acids Abstracts</v>
      </c>
      <c r="C176" t="str">
        <f>IF(orig_e_resources_table!C150="","",orig_e_resources_table!C150)</f>
        <v/>
      </c>
      <c r="D176" t="str">
        <f>orig_e_resources_table!D150</f>
        <v>http://www.csa.com/htbin/dbrng.cgi?username=paulg&amp;access=paulg20&amp;db=nucleic-acids-set-c</v>
      </c>
      <c r="E176" t="str">
        <f>LOWER(IF(orig_e_resources_table!F150=1,TRUE,FALSE))</f>
        <v>false</v>
      </c>
      <c r="F176" t="str">
        <f>LOWER(IF(orig_e_resources_table!I150=1,TRUE,FALSE))</f>
        <v>true</v>
      </c>
      <c r="G176" t="str">
        <f>SUBSTITUTE(SUBSTITUTE(orig_e_resources_table!O150,CHAR(13),""),CHAR(10),"")</f>
        <v>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v>
      </c>
      <c r="I176" t="str">
        <f t="shared" si="2"/>
        <v/>
      </c>
      <c r="J176" t="s">
        <v>1200</v>
      </c>
    </row>
    <row r="177" spans="1:10" x14ac:dyDescent="0.25">
      <c r="A177">
        <v>145</v>
      </c>
      <c r="B177" t="str">
        <f>orig_e_resources_table!B146</f>
        <v>NYPL Digital Gallery</v>
      </c>
      <c r="C177" t="str">
        <f>IF(orig_e_resources_table!C146="","",orig_e_resources_table!C146)</f>
        <v/>
      </c>
      <c r="D177" t="str">
        <f>orig_e_resources_table!D146</f>
        <v>http://digitalgallery.nypl.org/nypldigital/index.cfm</v>
      </c>
      <c r="E177" t="str">
        <f>LOWER(IF(orig_e_resources_table!F146=1,TRUE,FALSE))</f>
        <v>true</v>
      </c>
      <c r="F177" t="str">
        <f>LOWER(IF(orig_e_resources_table!I146=1,TRUE,FALSE))</f>
        <v>false</v>
      </c>
      <c r="G177" t="str">
        <f>SUBSTITUTE(SUBSTITUTE(orig_e_resources_table!O146,CHAR(13),""),CHAR(10),"")</f>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c r="I177" t="str">
        <f t="shared" si="2"/>
        <v>xxx</v>
      </c>
      <c r="J177" t="s">
        <v>1224</v>
      </c>
    </row>
    <row r="178" spans="1:10" x14ac:dyDescent="0.25">
      <c r="A178">
        <v>234</v>
      </c>
      <c r="B178" t="str">
        <f>orig_e_resources_table!B235</f>
        <v>OAIster</v>
      </c>
      <c r="C178" t="str">
        <f>IF(orig_e_resources_table!C235="","",orig_e_resources_table!C235)</f>
        <v>NULL</v>
      </c>
      <c r="D178" t="str">
        <f>orig_e_resources_table!D235</f>
        <v>http://www.oaister.worldcat.org/</v>
      </c>
      <c r="E178" t="str">
        <f>LOWER(IF(orig_e_resources_table!F235=1,TRUE,FALSE))</f>
        <v>true</v>
      </c>
      <c r="F178" t="str">
        <f>LOWER(IF(orig_e_resources_table!I235=1,TRUE,FALSE))</f>
        <v>false</v>
      </c>
      <c r="G178" t="str">
        <f>SUBSTITUTE(SUBSTITUTE(orig_e_resources_table!O235,CHAR(13),""),CHAR(10),"")</f>
        <v>OAIster is a searchable online catalog of digital resources, including digitized (i.e., scanned) books and articles, born-digital texts, audio files (e.g., wav, mp3), images (e.g., tiff, gif), movies (e.g., mp4, quicktime), and datasets (e.g., downloadable statistics files).</v>
      </c>
      <c r="I178" t="str">
        <f t="shared" si="2"/>
        <v>xxx</v>
      </c>
      <c r="J178" t="s">
        <v>1202</v>
      </c>
    </row>
    <row r="179" spans="1:10" x14ac:dyDescent="0.25">
      <c r="A179">
        <v>150</v>
      </c>
      <c r="B179" t="str">
        <f>orig_e_resources_table!B151</f>
        <v>Oncogenes and Growth Factors Abstracts</v>
      </c>
      <c r="C179" t="str">
        <f>IF(orig_e_resources_table!C151="","",orig_e_resources_table!C151)</f>
        <v/>
      </c>
      <c r="D179" t="str">
        <f>orig_e_resources_table!D151</f>
        <v>http://www.csa.com/htbin/dbrng.cgi?username=paulg&amp;access=paulg20&amp;db=oncogenes-set-c</v>
      </c>
      <c r="E179" t="str">
        <f>LOWER(IF(orig_e_resources_table!F151=1,TRUE,FALSE))</f>
        <v>false</v>
      </c>
      <c r="F179" t="str">
        <f>LOWER(IF(orig_e_resources_table!I151=1,TRUE,FALSE))</f>
        <v>true</v>
      </c>
      <c r="G179" t="str">
        <f>SUBSTITUTE(SUBSTITUTE(orig_e_resources_table!O151,CHAR(13),""),CHAR(10),"")</f>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c r="I179" t="str">
        <f t="shared" si="2"/>
        <v/>
      </c>
      <c r="J179" t="s">
        <v>1200</v>
      </c>
    </row>
    <row r="180" spans="1:10" x14ac:dyDescent="0.25">
      <c r="A180">
        <v>228</v>
      </c>
      <c r="B180" t="str">
        <f>orig_e_resources_table!B229</f>
        <v>Open-Access Text Archive</v>
      </c>
      <c r="C180" t="str">
        <f>IF(orig_e_resources_table!C229="","",orig_e_resources_table!C229)</f>
        <v>NULL</v>
      </c>
      <c r="D180" t="str">
        <f>orig_e_resources_table!D229</f>
        <v>http://www.archive.org/details/texts</v>
      </c>
      <c r="E180" t="str">
        <f>LOWER(IF(orig_e_resources_table!F229=1,TRUE,FALSE))</f>
        <v>true</v>
      </c>
      <c r="F180" t="str">
        <f>LOWER(IF(orig_e_resources_table!I229=1,TRUE,FALSE))</f>
        <v>false</v>
      </c>
      <c r="G180" t="str">
        <f>SUBSTITUTE(SUBSTITUTE(orig_e_resources_table!O229,CHAR(13),""),CHAR(10),"")</f>
        <v>This site features a wide selection of e-books that have been contributed from publishers, universities, and individuals. Most of the texts are in DJVU or PDF format. Free to read, download, and print.</v>
      </c>
      <c r="I180" t="str">
        <f t="shared" si="2"/>
        <v>xxx</v>
      </c>
      <c r="J180" t="s">
        <v>1200</v>
      </c>
    </row>
    <row r="181" spans="1:10" x14ac:dyDescent="0.25">
      <c r="A181">
        <v>151</v>
      </c>
      <c r="B181" t="str">
        <f>orig_e_resources_table!B152</f>
        <v>Optics InfoBase</v>
      </c>
      <c r="C181" t="str">
        <f>IF(orig_e_resources_table!C152="","",orig_e_resources_table!C152)</f>
        <v/>
      </c>
      <c r="D181" t="str">
        <f>orig_e_resources_table!D152</f>
        <v>http://www.opticsinfobase.org/default.cfm</v>
      </c>
      <c r="E181" t="str">
        <f>LOWER(IF(orig_e_resources_table!F152=1,TRUE,FALSE))</f>
        <v>true</v>
      </c>
      <c r="F181" t="str">
        <f>LOWER(IF(orig_e_resources_table!I152=1,TRUE,FALSE))</f>
        <v>true</v>
      </c>
      <c r="G181" t="str">
        <f>SUBSTITUTE(SUBSTITUTE(orig_e_resources_table!O152,CHAR(13),""),CHAR(10),"")</f>
        <v xml:space="preserve">InfoBase is the Optical Society of America's online repository of both current and past volumes of all its journals (citations only, no full-text). It also contains recent proceedings from OSA conferences. </v>
      </c>
      <c r="I181" t="str">
        <f t="shared" si="2"/>
        <v>xxx</v>
      </c>
      <c r="J181" t="s">
        <v>1200</v>
      </c>
    </row>
    <row r="182" spans="1:10" x14ac:dyDescent="0.25">
      <c r="A182">
        <v>153</v>
      </c>
      <c r="B182" t="str">
        <f>orig_e_resources_table!B154</f>
        <v>Oxford English Dictionary</v>
      </c>
      <c r="C182" t="str">
        <f>IF(orig_e_resources_table!C154="","",orig_e_resources_table!C154)</f>
        <v/>
      </c>
      <c r="D182" t="str">
        <f>orig_e_resources_table!D154</f>
        <v>http://www.oed.com/</v>
      </c>
      <c r="E182" t="str">
        <f>LOWER(IF(orig_e_resources_table!F154=1,TRUE,FALSE))</f>
        <v>true</v>
      </c>
      <c r="F182" t="str">
        <f>LOWER(IF(orig_e_resources_table!I154=1,TRUE,FALSE))</f>
        <v>true</v>
      </c>
      <c r="G182" t="str">
        <f>SUBSTITUTE(SUBSTITUTE(orig_e_resources_table!O154,CHAR(13),""),CHAR(10),"")</f>
        <v xml:space="preserve">Online edition of the definitive dictionary of the English language. Find word definitions, etymology, date charts, and more. </v>
      </c>
      <c r="I182" t="str">
        <f t="shared" si="2"/>
        <v>xxx</v>
      </c>
      <c r="J182" t="s">
        <v>1207</v>
      </c>
    </row>
    <row r="183" spans="1:10" x14ac:dyDescent="0.25">
      <c r="A183">
        <v>257</v>
      </c>
      <c r="B183" t="str">
        <f>orig_e_resources_table!B258</f>
        <v>Oxford Islamic Studies Online</v>
      </c>
      <c r="C183" t="str">
        <f>IF(orig_e_resources_table!C258="","",orig_e_resources_table!C258)</f>
        <v>NULL</v>
      </c>
      <c r="D183" t="str">
        <f>orig_e_resources_table!D258</f>
        <v>http://www.oxfordislamicstudies.com/</v>
      </c>
      <c r="E183" t="str">
        <f>LOWER(IF(orig_e_resources_table!F258=1,TRUE,FALSE))</f>
        <v>false</v>
      </c>
      <c r="F183" t="str">
        <f>LOWER(IF(orig_e_resources_table!I258=1,TRUE,FALSE))</f>
        <v>false</v>
      </c>
      <c r="G183" t="str">
        <f>SUBSTITUTE(SUBSTITUTE(orig_e_resources_table!O258,CHAR(13),""),CHAR(10),"")</f>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c r="I183" t="str">
        <f t="shared" si="2"/>
        <v/>
      </c>
      <c r="J183" t="s">
        <v>1200</v>
      </c>
    </row>
    <row r="184" spans="1:10" x14ac:dyDescent="0.25">
      <c r="A184">
        <v>230</v>
      </c>
      <c r="B184" t="str">
        <f>orig_e_resources_table!B231</f>
        <v>Palgrave Dictionary of Economics</v>
      </c>
      <c r="C184" t="str">
        <f>IF(orig_e_resources_table!C231="","",orig_e_resources_table!C231)</f>
        <v/>
      </c>
      <c r="D184" t="str">
        <f>orig_e_resources_table!D231</f>
        <v>http://www.dictionaryofeconomics.com/dictionary</v>
      </c>
      <c r="E184" t="str">
        <f>LOWER(IF(orig_e_resources_table!F231=1,TRUE,FALSE))</f>
        <v>false</v>
      </c>
      <c r="F184" t="str">
        <f>LOWER(IF(orig_e_resources_table!I231=1,TRUE,FALSE))</f>
        <v>true</v>
      </c>
      <c r="G184" t="str">
        <f>SUBSTITUTE(SUBSTITUTE(orig_e_resources_table!O231,CHAR(13),""),CHAR(10),"")</f>
        <v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v>
      </c>
      <c r="I184" t="str">
        <f t="shared" si="2"/>
        <v/>
      </c>
      <c r="J184" t="s">
        <v>1200</v>
      </c>
    </row>
    <row r="185" spans="1:10" x14ac:dyDescent="0.25">
      <c r="A185">
        <v>154</v>
      </c>
      <c r="B185" t="str">
        <f>orig_e_resources_table!B155</f>
        <v>Papers First</v>
      </c>
      <c r="C185" t="str">
        <f>IF(orig_e_resources_table!C155="","",orig_e_resources_table!C155)</f>
        <v/>
      </c>
      <c r="D185" t="str">
        <f>orig_e_resources_table!D155</f>
        <v>http://newfirstsearch.oclc.org/dbname=PapersFirst;FSIP</v>
      </c>
      <c r="E185" t="str">
        <f>LOWER(IF(orig_e_resources_table!F155=1,TRUE,FALSE))</f>
        <v>true</v>
      </c>
      <c r="F185" t="str">
        <f>LOWER(IF(orig_e_resources_table!I155=1,TRUE,FALSE))</f>
        <v>true</v>
      </c>
      <c r="G185" t="str">
        <f>SUBSTITUTE(SUBSTITUTE(orig_e_resources_table!O155,CHAR(13),""),CHAR(10),"")</f>
        <v>An index of papers presented at conferences. Includes every congress, conference, exposition, workshop, symposium, and meeting received at the British Library.</v>
      </c>
      <c r="I185" t="str">
        <f t="shared" si="2"/>
        <v>xxx</v>
      </c>
      <c r="J185" t="s">
        <v>1200</v>
      </c>
    </row>
    <row r="186" spans="1:10" x14ac:dyDescent="0.25">
      <c r="A186">
        <v>155</v>
      </c>
      <c r="B186" t="str">
        <f>orig_e_resources_table!B156</f>
        <v>PerAbs</v>
      </c>
      <c r="C186" t="str">
        <f>IF(orig_e_resources_table!C156="","",orig_e_resources_table!C156)</f>
        <v>Periodical Abstracts</v>
      </c>
      <c r="D186" t="str">
        <f>orig_e_resources_table!D156</f>
        <v>http://newfirstsearch.oclc.org/dbname=PerAbs;FSIP</v>
      </c>
      <c r="E186" t="str">
        <f>LOWER(IF(orig_e_resources_table!F156=1,TRUE,FALSE))</f>
        <v>false</v>
      </c>
      <c r="F186" t="str">
        <f>LOWER(IF(orig_e_resources_table!I156=1,TRUE,FALSE))</f>
        <v>true</v>
      </c>
      <c r="G186" t="str">
        <f>SUBSTITUTE(SUBSTITUTE(orig_e_resources_table!O156,CHAR(13),""),CHAR(10),"")</f>
        <v>Periodical abstracts from general and academic journals. Subject covered include business, economics, literature, psychology, religion, and women's studies.</v>
      </c>
      <c r="I186" t="str">
        <f t="shared" si="2"/>
        <v/>
      </c>
      <c r="J186" t="s">
        <v>1200</v>
      </c>
    </row>
    <row r="187" spans="1:10" x14ac:dyDescent="0.25">
      <c r="A187">
        <v>156</v>
      </c>
      <c r="B187" t="str">
        <f>orig_e_resources_table!B157</f>
        <v>Philosopher's Index</v>
      </c>
      <c r="C187" t="str">
        <f>IF(orig_e_resources_table!C157="","",orig_e_resources_table!C157)</f>
        <v/>
      </c>
      <c r="D187" t="str">
        <f>orig_e_resources_table!D157</f>
        <v>http://search.ebscohost.com/login.aspx?authtype=ip,uid&amp;profile=ehost&amp;defaultdb=phl</v>
      </c>
      <c r="E187" t="str">
        <f>LOWER(IF(orig_e_resources_table!F157=1,TRUE,FALSE))</f>
        <v>true</v>
      </c>
      <c r="F187" t="str">
        <f>LOWER(IF(orig_e_resources_table!I157=1,TRUE,FALSE))</f>
        <v>true</v>
      </c>
      <c r="G187" t="str">
        <f>SUBSTITUTE(SUBSTITUTE(orig_e_resources_table!O157,CHAR(13),""),CHAR(10),"")</f>
        <v>Philosopher's Index covers all major fields of philosophy. This resource contains citation information and author-written abstracts for journal articles, books, contributions to anthologies, and book reviews.</v>
      </c>
      <c r="I187" t="str">
        <f t="shared" si="2"/>
        <v>xxx</v>
      </c>
      <c r="J187" t="s">
        <v>1200</v>
      </c>
    </row>
    <row r="188" spans="1:10" x14ac:dyDescent="0.25">
      <c r="A188">
        <v>157</v>
      </c>
      <c r="B188" t="str">
        <f>orig_e_resources_table!B158</f>
        <v>PILOTS Database</v>
      </c>
      <c r="C188" t="str">
        <f>IF(orig_e_resources_table!C158="","",orig_e_resources_table!C158)</f>
        <v>Published International Literature On Traumatic Stress</v>
      </c>
      <c r="D188" t="str">
        <f>orig_e_resources_table!D158</f>
        <v>http://www.csa.com/htbin/dbrng.cgi?username=paulg&amp;access=paulg20&amp;db=pilots-set-c</v>
      </c>
      <c r="E188" t="str">
        <f>LOWER(IF(orig_e_resources_table!F158=1,TRUE,FALSE))</f>
        <v>false</v>
      </c>
      <c r="F188" t="str">
        <f>LOWER(IF(orig_e_resources_table!I158=1,TRUE,FALSE))</f>
        <v>true</v>
      </c>
      <c r="G188" t="str">
        <f>SUBSTITUTE(SUBSTITUTE(orig_e_resources_table!O158,CHAR(13),""),CHAR(10),"")</f>
        <v>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v>
      </c>
      <c r="I188" t="str">
        <f t="shared" si="2"/>
        <v/>
      </c>
      <c r="J188" t="s">
        <v>1200</v>
      </c>
    </row>
    <row r="189" spans="1:10" x14ac:dyDescent="0.25">
      <c r="A189">
        <v>158</v>
      </c>
      <c r="B189" t="str">
        <f>orig_e_resources_table!B159</f>
        <v>Plant Science</v>
      </c>
      <c r="C189" t="str">
        <f>IF(orig_e_resources_table!C159="","",orig_e_resources_table!C159)</f>
        <v/>
      </c>
      <c r="D189" t="str">
        <f>orig_e_resources_table!D159</f>
        <v>http://www.csa.com/htbin/dbrng.cgi?username=paulg&amp;access=paulg20&amp;db=plantsci-set-c</v>
      </c>
      <c r="E189" t="str">
        <f>LOWER(IF(orig_e_resources_table!F159=1,TRUE,FALSE))</f>
        <v>false</v>
      </c>
      <c r="F189" t="str">
        <f>LOWER(IF(orig_e_resources_table!I159=1,TRUE,FALSE))</f>
        <v>true</v>
      </c>
      <c r="G189" t="str">
        <f>SUBSTITUTE(SUBSTITUTE(orig_e_resources_table!O159,CHAR(13),""),CHAR(10),"")</f>
        <v>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v>
      </c>
      <c r="I189" t="str">
        <f t="shared" si="2"/>
        <v/>
      </c>
      <c r="J189" t="s">
        <v>1200</v>
      </c>
    </row>
    <row r="190" spans="1:10" x14ac:dyDescent="0.25">
      <c r="A190">
        <v>159</v>
      </c>
      <c r="B190" t="str">
        <f>orig_e_resources_table!B160</f>
        <v>PLoS</v>
      </c>
      <c r="C190" t="str">
        <f>IF(orig_e_resources_table!C160="","",orig_e_resources_table!C160)</f>
        <v>Public Library of Science</v>
      </c>
      <c r="D190" t="str">
        <f>orig_e_resources_table!D160</f>
        <v>http://www.plos.org/</v>
      </c>
      <c r="E190" t="str">
        <f>LOWER(IF(orig_e_resources_table!F160=1,TRUE,FALSE))</f>
        <v>true</v>
      </c>
      <c r="F190" t="str">
        <f>LOWER(IF(orig_e_resources_table!I160=1,TRUE,FALSE))</f>
        <v>false</v>
      </c>
      <c r="G190" t="str">
        <f>SUBSTITUTE(SUBSTITUTE(orig_e_resources_table!O160,CHAR(13),""),CHAR(10),"")</f>
        <v>Online repository of open-access scientific journals published by Public Library of Science (PLoS), a nonprofit organization of scientists and physicians committed to making the world's scientific and medical literature a freely available public resource.</v>
      </c>
      <c r="I190" t="str">
        <f t="shared" si="2"/>
        <v>xxx</v>
      </c>
      <c r="J190" t="s">
        <v>1200</v>
      </c>
    </row>
    <row r="191" spans="1:10" x14ac:dyDescent="0.25">
      <c r="A191">
        <v>160</v>
      </c>
      <c r="B191" t="str">
        <f>orig_e_resources_table!B161</f>
        <v>Pollution Abstracts</v>
      </c>
      <c r="C191" t="str">
        <f>IF(orig_e_resources_table!C161="","",orig_e_resources_table!C161)</f>
        <v/>
      </c>
      <c r="D191" t="str">
        <f>orig_e_resources_table!D161</f>
        <v>http://www.csa.com/htbin/dbrng.cgi?username=paulg&amp;access=paulg20&amp;db=pollution-set-c&amp;adv=1</v>
      </c>
      <c r="E191" t="str">
        <f>LOWER(IF(orig_e_resources_table!F161=1,TRUE,FALSE))</f>
        <v>false</v>
      </c>
      <c r="F191" t="str">
        <f>LOWER(IF(orig_e_resources_table!I161=1,TRUE,FALSE))</f>
        <v>true</v>
      </c>
      <c r="G191" t="str">
        <f>SUBSTITUTE(SUBSTITUTE(orig_e_resources_table!O161,CHAR(13),""),CHAR(10),"")</f>
        <v>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v>
      </c>
      <c r="I191" t="str">
        <f t="shared" si="2"/>
        <v/>
      </c>
      <c r="J191" t="s">
        <v>1200</v>
      </c>
    </row>
    <row r="192" spans="1:10" x14ac:dyDescent="0.25">
      <c r="A192">
        <v>256</v>
      </c>
      <c r="B192" t="str">
        <f>orig_e_resources_table!B257</f>
        <v>PrivCo</v>
      </c>
      <c r="C192" t="str">
        <f>IF(orig_e_resources_table!C257="","",orig_e_resources_table!C257)</f>
        <v>NULL</v>
      </c>
      <c r="D192" t="str">
        <f>orig_e_resources_table!D257</f>
        <v>http://www.privco.com</v>
      </c>
      <c r="E192" t="str">
        <f>LOWER(IF(orig_e_resources_table!F257=1,TRUE,FALSE))</f>
        <v>true</v>
      </c>
      <c r="F192" t="str">
        <f>LOWER(IF(orig_e_resources_table!I257=1,TRUE,FALSE))</f>
        <v>true</v>
      </c>
      <c r="G192" t="str">
        <f>SUBSTITUTE(SUBSTITUTE(orig_e_resources_table!O257,CHAR(13),""),CHAR(10),"")</f>
        <v>PrivCo is a source for business and financial research on major privately-held companies (MPCs). It combines financial analysis, editorials, market research, and PrivCo's data technology for over 150,000 private companies in the United States.</v>
      </c>
      <c r="I192" t="str">
        <f t="shared" si="2"/>
        <v>xxx</v>
      </c>
      <c r="J192" t="s">
        <v>1200</v>
      </c>
    </row>
    <row r="193" spans="1:10" x14ac:dyDescent="0.25">
      <c r="A193">
        <v>161</v>
      </c>
      <c r="B193" t="str">
        <f>orig_e_resources_table!B162</f>
        <v>Proceedings</v>
      </c>
      <c r="C193" t="str">
        <f>IF(orig_e_resources_table!C162="","",orig_e_resources_table!C162)</f>
        <v/>
      </c>
      <c r="D193" t="str">
        <f>orig_e_resources_table!D162</f>
        <v>http://newfirstsearch.oclc.org/dbname=Proceedings;FSIP</v>
      </c>
      <c r="E193" t="str">
        <f>LOWER(IF(orig_e_resources_table!F162=1,TRUE,FALSE))</f>
        <v>true</v>
      </c>
      <c r="F193" t="str">
        <f>LOWER(IF(orig_e_resources_table!I162=1,TRUE,FALSE))</f>
        <v>true</v>
      </c>
      <c r="G193" t="str">
        <f>SUBSTITUTE(SUBSTITUTE(orig_e_resources_table!O162,CHAR(13),""),CHAR(10),"")</f>
        <v>Index of worldwide conference proceedings. Covers every published congress, symposium, conference, exposition, workshop and meeting received by The British Library Document Supply Centre.</v>
      </c>
      <c r="I193" t="str">
        <f t="shared" si="2"/>
        <v>xxx</v>
      </c>
      <c r="J193" t="s">
        <v>1200</v>
      </c>
    </row>
    <row r="194" spans="1:10" x14ac:dyDescent="0.25">
      <c r="A194">
        <v>162</v>
      </c>
      <c r="B194" t="str">
        <f>orig_e_resources_table!B163</f>
        <v>Professional Development Collection</v>
      </c>
      <c r="C194" t="str">
        <f>IF(orig_e_resources_table!C163="","",orig_e_resources_table!C163)</f>
        <v/>
      </c>
      <c r="D194" t="str">
        <f>orig_e_resources_table!D163</f>
        <v>http://search.EBSCOhost.com/login.asp?profile=web&amp;defaultdb=tfh</v>
      </c>
      <c r="E194" t="str">
        <f>LOWER(IF(orig_e_resources_table!F163=1,TRUE,FALSE))</f>
        <v>true</v>
      </c>
      <c r="F194" t="str">
        <f>LOWER(IF(orig_e_resources_table!I163=1,TRUE,FALSE))</f>
        <v>true</v>
      </c>
      <c r="G194" t="str">
        <f>SUBSTITUTE(SUBSTITUTE(orig_e_resources_table!O163,CHAR(13),""),CHAR(10),"")</f>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c r="I194" t="str">
        <f t="shared" ref="I194:I260" si="3">IF(E194="true","xxx","")</f>
        <v>xxx</v>
      </c>
      <c r="J194" t="s">
        <v>1200</v>
      </c>
    </row>
    <row r="195" spans="1:10" x14ac:dyDescent="0.25">
      <c r="A195">
        <v>163</v>
      </c>
      <c r="B195" t="str">
        <f>orig_e_resources_table!B164</f>
        <v>Project Gutenberg</v>
      </c>
      <c r="C195" t="str">
        <f>IF(orig_e_resources_table!C164="","",orig_e_resources_table!C164)</f>
        <v/>
      </c>
      <c r="D195" t="str">
        <f>orig_e_resources_table!D164</f>
        <v>http://gutenberg.cc/</v>
      </c>
      <c r="E195" t="str">
        <f>LOWER(IF(orig_e_resources_table!F164=1,TRUE,FALSE))</f>
        <v>true</v>
      </c>
      <c r="F195" t="str">
        <f>LOWER(IF(orig_e_resources_table!I164=1,TRUE,FALSE))</f>
        <v>false</v>
      </c>
      <c r="G195" t="str">
        <f>SUBSTITUTE(SUBSTITUTE(orig_e_resources_table!O164,CHAR(13),""),CHAR(10),"")</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c r="I195" t="str">
        <f t="shared" si="3"/>
        <v>xxx</v>
      </c>
      <c r="J195" t="s">
        <v>1200</v>
      </c>
    </row>
    <row r="196" spans="1:10" x14ac:dyDescent="0.25">
      <c r="A196">
        <v>164</v>
      </c>
      <c r="B196" t="str">
        <f>orig_e_resources_table!B165</f>
        <v>Project Muse</v>
      </c>
      <c r="C196" t="str">
        <f>IF(orig_e_resources_table!C165="","",orig_e_resources_table!C165)</f>
        <v/>
      </c>
      <c r="D196" t="str">
        <f>orig_e_resources_table!D165</f>
        <v>http://muse.jhu.edu/search/search.pl</v>
      </c>
      <c r="E196" t="str">
        <f>LOWER(IF(orig_e_resources_table!F165=1,TRUE,FALSE))</f>
        <v>true</v>
      </c>
      <c r="F196" t="str">
        <f>LOWER(IF(orig_e_resources_table!I165=1,TRUE,FALSE))</f>
        <v>true</v>
      </c>
      <c r="G196" t="str">
        <f>SUBSTITUTE(SUBSTITUTE(orig_e_resources_table!O165,CHAR(13),""),CHAR(10),"")</f>
        <v>This database offers a comprehensive selection of prestigious humanities, arts, and social sciences journals. Every journal is indexed and peer-reviewed. Project MUSE contains articles scanned as exact replicas in pdf format.</v>
      </c>
      <c r="I196" t="str">
        <f t="shared" si="3"/>
        <v>xxx</v>
      </c>
      <c r="J196" t="s">
        <v>1200</v>
      </c>
    </row>
    <row r="197" spans="1:10" x14ac:dyDescent="0.25">
      <c r="A197">
        <v>165</v>
      </c>
      <c r="B197" t="str">
        <f>orig_e_resources_table!B166</f>
        <v>PROMT</v>
      </c>
      <c r="C197" t="str">
        <f>IF(orig_e_resources_table!C166="","",orig_e_resources_table!C166)</f>
        <v>Predicast Overview of Markets and Technology</v>
      </c>
      <c r="D197" t="str">
        <f>orig_e_resources_table!D166</f>
        <v>http://find.galegroup.com/menu/start?userGroupName=chic40381&amp;prod=PRS</v>
      </c>
      <c r="E197" t="str">
        <f>LOWER(IF(orig_e_resources_table!F166=1,TRUE,FALSE))</f>
        <v>false</v>
      </c>
      <c r="F197" t="str">
        <f>LOWER(IF(orig_e_resources_table!I166=1,TRUE,FALSE))</f>
        <v>false</v>
      </c>
      <c r="G197" t="str">
        <f>SUBSTITUTE(SUBSTITUTE(orig_e_resources_table!O166,CHAR(13),""),CHAR(10),"")</f>
        <v/>
      </c>
      <c r="I197" t="str">
        <f t="shared" si="3"/>
        <v/>
      </c>
      <c r="J197" t="s">
        <v>1200</v>
      </c>
    </row>
    <row r="198" spans="1:10" x14ac:dyDescent="0.25">
      <c r="A198">
        <v>254</v>
      </c>
      <c r="B198" t="str">
        <f>orig_e_resources_table!B255</f>
        <v>ProQuest SciTech Collection</v>
      </c>
      <c r="C198" t="str">
        <f>IF(orig_e_resources_table!C255="","",orig_e_resources_table!C255)</f>
        <v/>
      </c>
      <c r="D198" t="str">
        <f>orig_e_resources_table!D255</f>
        <v>http://search.proquest.com/technologycollection</v>
      </c>
      <c r="E198" t="str">
        <f>LOWER(IF(orig_e_resources_table!F255=1,TRUE,FALSE))</f>
        <v>true</v>
      </c>
      <c r="F198" t="str">
        <f>LOWER(IF(orig_e_resources_table!I255=1,TRUE,FALSE))</f>
        <v>true</v>
      </c>
      <c r="G198" t="str">
        <f>SUBSTITUTE(SUBSTITUTE(orig_e_resources_table!O255,CHAR(13),""),CHAR(10),"")</f>
        <v xml:space="preserve">A comprehensive natural and applied science research collection. Includes databases collections for the following subject areas: Agriculture, Aquatic, Atmospheric, Biology, Earth,, Environmental Science, Materials,  Aerospace, Engineering, Computer Science. </v>
      </c>
      <c r="I198" t="str">
        <f t="shared" si="3"/>
        <v>xxx</v>
      </c>
      <c r="J198" t="s">
        <v>1200</v>
      </c>
    </row>
    <row r="199" spans="1:10" x14ac:dyDescent="0.25">
      <c r="A199">
        <v>166</v>
      </c>
      <c r="B199" t="str">
        <f>orig_e_resources_table!B167</f>
        <v>PsycARTICLES</v>
      </c>
      <c r="C199" t="str">
        <f>IF(orig_e_resources_table!C167="","",orig_e_resources_table!C167)</f>
        <v/>
      </c>
      <c r="D199" t="str">
        <f>orig_e_resources_table!D167</f>
        <v>http://search.ebscohost.com/login.asp?profile=web&amp;defaultdb=pdh</v>
      </c>
      <c r="E199" t="str">
        <f>LOWER(IF(orig_e_resources_table!F167=1,TRUE,FALSE))</f>
        <v>true</v>
      </c>
      <c r="F199" t="str">
        <f>LOWER(IF(orig_e_resources_table!I167=1,TRUE,FALSE))</f>
        <v>true</v>
      </c>
      <c r="G199" t="str">
        <f>SUBSTITUTE(SUBSTITUTE(orig_e_resources_table!O167,CHAR(13),""),CHAR(10),"")</f>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c r="I199" t="str">
        <f t="shared" si="3"/>
        <v>xxx</v>
      </c>
      <c r="J199" t="s">
        <v>1200</v>
      </c>
    </row>
    <row r="200" spans="1:10" x14ac:dyDescent="0.25">
      <c r="A200">
        <v>219</v>
      </c>
      <c r="B200" t="str">
        <f>orig_e_resources_table!B220</f>
        <v>PsycEXTRA</v>
      </c>
      <c r="C200" t="str">
        <f>IF(orig_e_resources_table!C220="","",orig_e_resources_table!C220)</f>
        <v>NULL</v>
      </c>
      <c r="D200" t="str">
        <f>orig_e_resources_table!D220</f>
        <v>http://search.ebscohost.com/login.asp?profile=web&amp;defaultdb=pxh</v>
      </c>
      <c r="E200" t="str">
        <f>LOWER(IF(orig_e_resources_table!F220=1,TRUE,FALSE))</f>
        <v>true</v>
      </c>
      <c r="F200" t="str">
        <f>LOWER(IF(orig_e_resources_table!I220=1,TRUE,FALSE))</f>
        <v>true</v>
      </c>
      <c r="G200" t="str">
        <f>SUBSTITUTE(SUBSTITUTE(orig_e_resources_table!O220,CHAR(13),""),CHAR(10),"")</f>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c r="I200" t="str">
        <f t="shared" si="3"/>
        <v>xxx</v>
      </c>
      <c r="J200" t="s">
        <v>1200</v>
      </c>
    </row>
    <row r="201" spans="1:10" x14ac:dyDescent="0.25">
      <c r="A201">
        <v>167</v>
      </c>
      <c r="B201" t="str">
        <f>orig_e_resources_table!B168</f>
        <v>PsycINFO</v>
      </c>
      <c r="C201" t="str">
        <f>IF(orig_e_resources_table!C168="","",orig_e_resources_table!C168)</f>
        <v/>
      </c>
      <c r="D201" t="str">
        <f>orig_e_resources_table!D168</f>
        <v>http://search.ebscohost.com/login.asp?profile=web&amp;amp;defaultdb=psyh</v>
      </c>
      <c r="E201" t="str">
        <f>LOWER(IF(orig_e_resources_table!F168=1,TRUE,FALSE))</f>
        <v>true</v>
      </c>
      <c r="F201" t="str">
        <f>LOWER(IF(orig_e_resources_table!I168=1,TRUE,FALSE))</f>
        <v>true</v>
      </c>
      <c r="G201" t="str">
        <f>SUBSTITUTE(SUBSTITUTE(orig_e_resources_table!O168,CHAR(13),""),CHAR(10),"")</f>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c r="I201" t="str">
        <f t="shared" si="3"/>
        <v>xxx</v>
      </c>
      <c r="J201" t="s">
        <v>1200</v>
      </c>
    </row>
    <row r="202" spans="1:10" x14ac:dyDescent="0.25">
      <c r="A202">
        <v>169</v>
      </c>
      <c r="B202" t="str">
        <f>orig_e_resources_table!B170</f>
        <v>PubMed</v>
      </c>
      <c r="C202" t="str">
        <f>IF(orig_e_resources_table!C170="","",orig_e_resources_table!C170)</f>
        <v/>
      </c>
      <c r="D202" t="str">
        <f>orig_e_resources_table!D170</f>
        <v>http://www.ncbi.nlm.nih.gov/sites/entrez?otool=ilinstclib</v>
      </c>
      <c r="E202" t="str">
        <f>LOWER(IF(orig_e_resources_table!F170=1,TRUE,FALSE))</f>
        <v>true</v>
      </c>
      <c r="F202" t="str">
        <f>LOWER(IF(orig_e_resources_table!I170=1,TRUE,FALSE))</f>
        <v>false</v>
      </c>
      <c r="G202" t="str">
        <f>SUBSTITUTE(SUBSTITUTE(orig_e_resources_table!O170,CHAR(13),""),CHAR(10),"")</f>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c r="I202" t="str">
        <f t="shared" si="3"/>
        <v>xxx</v>
      </c>
      <c r="J202" t="s">
        <v>1200</v>
      </c>
    </row>
    <row r="203" spans="1:10" x14ac:dyDescent="0.25">
      <c r="A203">
        <v>170</v>
      </c>
      <c r="B203" t="str">
        <f>orig_e_resources_table!B171</f>
        <v>Regional Business News</v>
      </c>
      <c r="C203" t="str">
        <f>IF(orig_e_resources_table!C171="","",orig_e_resources_table!C171)</f>
        <v/>
      </c>
      <c r="D203" t="str">
        <f>orig_e_resources_table!D171</f>
        <v>http://search.EBSCOhost.com/login.asp?profile=web&amp;defaultdb=bwh</v>
      </c>
      <c r="E203" t="str">
        <f>LOWER(IF(orig_e_resources_table!F171=1,TRUE,FALSE))</f>
        <v>true</v>
      </c>
      <c r="F203" t="str">
        <f>LOWER(IF(orig_e_resources_table!I171=1,TRUE,FALSE))</f>
        <v>true</v>
      </c>
      <c r="G203" t="str">
        <f>SUBSTITUTE(SUBSTITUTE(orig_e_resources_table!O171,CHAR(13),""),CHAR(10),"")</f>
        <v>Regional Business News covers 75 business journals, newspapers and newswires covering all metropolitan and rural areas within the United States. Full-text is available for many publications.</v>
      </c>
      <c r="I203" t="str">
        <f t="shared" si="3"/>
        <v>xxx</v>
      </c>
      <c r="J203" t="s">
        <v>1200</v>
      </c>
    </row>
    <row r="204" spans="1:10" x14ac:dyDescent="0.25">
      <c r="A204">
        <v>171</v>
      </c>
      <c r="B204" t="str">
        <f>orig_e_resources_table!B172</f>
        <v>Risk Abstracts</v>
      </c>
      <c r="C204" t="str">
        <f>IF(orig_e_resources_table!C172="","",orig_e_resources_table!C172)</f>
        <v/>
      </c>
      <c r="D204" t="str">
        <f>orig_e_resources_table!D172</f>
        <v>http://www.csa.com/htbin/dbrng.cgi?username=paulg&amp;access=paulg20&amp;db=risk-set-c</v>
      </c>
      <c r="E204" t="str">
        <f>LOWER(IF(orig_e_resources_table!F172=1,TRUE,FALSE))</f>
        <v>false</v>
      </c>
      <c r="F204" t="str">
        <f>LOWER(IF(orig_e_resources_table!I172=1,TRUE,FALSE))</f>
        <v>true</v>
      </c>
      <c r="G204" t="str">
        <f>SUBSTITUTE(SUBSTITUTE(orig_e_resources_table!O172,CHAR(13),""),CHAR(10),"")</f>
        <v>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v>
      </c>
      <c r="I204" t="str">
        <f t="shared" si="3"/>
        <v/>
      </c>
      <c r="J204" t="s">
        <v>1200</v>
      </c>
    </row>
    <row r="205" spans="1:10" x14ac:dyDescent="0.25">
      <c r="A205">
        <v>135</v>
      </c>
      <c r="B205" t="str">
        <f>orig_e_resources_table!B136</f>
        <v>RSC Journal Archives (abstracts)</v>
      </c>
      <c r="C205" t="str">
        <f>IF(orig_e_resources_table!C136="","",orig_e_resources_table!C136)</f>
        <v>NULL</v>
      </c>
      <c r="D205" t="str">
        <f>orig_e_resources_table!D136</f>
        <v>http://www.rsc.org/Publishing/Journals/fjournalsearch.asp</v>
      </c>
      <c r="E205" t="str">
        <f>LOWER(IF(orig_e_resources_table!F136=1,TRUE,FALSE))</f>
        <v>true</v>
      </c>
      <c r="F205" t="str">
        <f>LOWER(IF(orig_e_resources_table!I136=1,TRUE,FALSE))</f>
        <v>false</v>
      </c>
      <c r="G205" t="str">
        <f>SUBSTITUTE(SUBSTITUTE(orig_e_resources_table!O136,CHAR(13),""),CHAR(10),"")</f>
        <v/>
      </c>
      <c r="I205" t="str">
        <f t="shared" si="3"/>
        <v>xxx</v>
      </c>
      <c r="J205" t="s">
        <v>1200</v>
      </c>
    </row>
    <row r="206" spans="1:10" x14ac:dyDescent="0.25">
      <c r="A206">
        <v>232</v>
      </c>
      <c r="B206" t="str">
        <f>orig_e_resources_table!B233</f>
        <v>Safari Books Online</v>
      </c>
      <c r="C206" t="str">
        <f>IF(orig_e_resources_table!C233="","",orig_e_resources_table!C233)</f>
        <v>NULL</v>
      </c>
      <c r="D206" t="str">
        <f>orig_e_resources_table!D233</f>
        <v>http://proquestcombo.safaribooksonline.com/?uicode=illinstt</v>
      </c>
      <c r="E206" t="str">
        <f>LOWER(IF(orig_e_resources_table!F233=1,TRUE,FALSE))</f>
        <v>true</v>
      </c>
      <c r="F206" t="str">
        <f>LOWER(IF(orig_e_resources_table!I233=1,TRUE,FALSE))</f>
        <v>true</v>
      </c>
      <c r="G206" t="str">
        <f>SUBSTITUTE(SUBSTITUTE(orig_e_resources_table!O233,CHAR(13),""),CHAR(10),"")</f>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c r="I206" t="str">
        <f t="shared" si="3"/>
        <v>xxx</v>
      </c>
      <c r="J206" t="s">
        <v>1200</v>
      </c>
    </row>
    <row r="207" spans="1:10" x14ac:dyDescent="0.25">
      <c r="A207">
        <v>226</v>
      </c>
      <c r="B207" t="str">
        <f>orig_e_resources_table!B227</f>
        <v>SAGE eReference Encyclopedias</v>
      </c>
      <c r="C207" t="str">
        <f>IF(orig_e_resources_table!C227="","",orig_e_resources_table!C227)</f>
        <v>NULL</v>
      </c>
      <c r="D207" t="str">
        <f>orig_e_resources_table!D227</f>
        <v>http://sage-ereference.com/</v>
      </c>
      <c r="E207" t="str">
        <f>LOWER(IF(orig_e_resources_table!F227=1,TRUE,FALSE))</f>
        <v>true</v>
      </c>
      <c r="F207" t="str">
        <f>LOWER(IF(orig_e_resources_table!I227=1,TRUE,FALSE))</f>
        <v>true</v>
      </c>
      <c r="G207" t="str">
        <f>SUBSTITUTE(SUBSTITUTE(orig_e_resources_table!O227,CHAR(13),""),CHAR(10),"")</f>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c r="I207" t="str">
        <f t="shared" si="3"/>
        <v>xxx</v>
      </c>
      <c r="J207" t="s">
        <v>1207</v>
      </c>
    </row>
    <row r="208" spans="1:10" x14ac:dyDescent="0.25">
      <c r="A208">
        <v>172</v>
      </c>
      <c r="B208" t="str">
        <f>orig_e_resources_table!B173</f>
        <v>SAGE Journals Online</v>
      </c>
      <c r="C208" t="str">
        <f>IF(orig_e_resources_table!C173="","",orig_e_resources_table!C173)</f>
        <v/>
      </c>
      <c r="D208" t="str">
        <f>orig_e_resources_table!D173</f>
        <v>http://online.sagepub.com</v>
      </c>
      <c r="E208" t="str">
        <f>LOWER(IF(orig_e_resources_table!F173=1,TRUE,FALSE))</f>
        <v>true</v>
      </c>
      <c r="F208" t="str">
        <f>LOWER(IF(orig_e_resources_table!I173=1,TRUE,FALSE))</f>
        <v>true</v>
      </c>
      <c r="G208" t="str">
        <f>SUBSTITUTE(SUBSTITUTE(orig_e_resources_table!O173,CHAR(13),""),CHAR(10),"")</f>
        <v>A collection of over 450 online, peer-reviewed journals and other scholarly content in many disciplines including Management &amp;amp; Organization Studies, Communication Studies, Psychology and Sociology. Full-text available from 1999-present.</v>
      </c>
      <c r="I208" t="str">
        <f t="shared" si="3"/>
        <v>xxx</v>
      </c>
      <c r="J208" t="s">
        <v>1200</v>
      </c>
    </row>
    <row r="209" spans="1:10" x14ac:dyDescent="0.25">
      <c r="A209">
        <v>173</v>
      </c>
      <c r="B209" t="str">
        <f>orig_e_resources_table!B174</f>
        <v>Sanborn Digital Maps 1867-1970</v>
      </c>
      <c r="C209" t="str">
        <f>IF(orig_e_resources_table!C174="","",orig_e_resources_table!C174)</f>
        <v/>
      </c>
      <c r="D209" t="str">
        <f>orig_e_resources_table!D174</f>
        <v>http://collections.carli.illinois.edu/cdm4/browse.php?CISOROOT=/sanborn</v>
      </c>
      <c r="E209" t="str">
        <f>LOWER(IF(orig_e_resources_table!F174=1,TRUE,FALSE))</f>
        <v>true</v>
      </c>
      <c r="F209" t="str">
        <f>LOWER(IF(orig_e_resources_table!I174=1,TRUE,FALSE))</f>
        <v>true</v>
      </c>
      <c r="G209" t="str">
        <f>SUBSTITUTE(SUBSTITUTE(orig_e_resources_table!O174,CHAR(13),""),CHAR(10),"")</f>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c r="I209" t="str">
        <f t="shared" si="3"/>
        <v>xxx</v>
      </c>
      <c r="J209" t="s">
        <v>1222</v>
      </c>
    </row>
    <row r="210" spans="1:10" x14ac:dyDescent="0.25">
      <c r="A210">
        <v>174</v>
      </c>
      <c r="B210" t="str">
        <f>orig_e_resources_table!B175</f>
        <v>Saskia Art Images Collection</v>
      </c>
      <c r="C210" t="str">
        <f>IF(orig_e_resources_table!C175="","",orig_e_resources_table!C175)</f>
        <v/>
      </c>
      <c r="D210" t="str">
        <f>orig_e_resources_table!D175</f>
        <v>http://collections.carli.illinois.edu/cdm4/index_saskia.php?CISOROOT=/saskia</v>
      </c>
      <c r="E210" t="str">
        <f>LOWER(IF(orig_e_resources_table!F175=1,TRUE,FALSE))</f>
        <v>true</v>
      </c>
      <c r="F210" t="str">
        <f>LOWER(IF(orig_e_resources_table!I175=1,TRUE,FALSE))</f>
        <v>true</v>
      </c>
      <c r="G210" t="str">
        <f>SUBSTITUTE(SUBSTITUTE(orig_e_resources_table!O175,CHAR(13),""),CHAR(10),"")</f>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c r="I210" t="str">
        <f t="shared" si="3"/>
        <v>xxx</v>
      </c>
      <c r="J210" t="s">
        <v>1202</v>
      </c>
    </row>
    <row r="211" spans="1:10" x14ac:dyDescent="0.25">
      <c r="A211">
        <v>175</v>
      </c>
      <c r="B211" t="str">
        <f>orig_e_resources_table!B176</f>
        <v>Science.gov</v>
      </c>
      <c r="C211" t="str">
        <f>IF(orig_e_resources_table!C176="","",orig_e_resources_table!C176)</f>
        <v/>
      </c>
      <c r="D211" t="str">
        <f>orig_e_resources_table!D176</f>
        <v>http://www.science.gov/</v>
      </c>
      <c r="E211" t="str">
        <f>LOWER(IF(orig_e_resources_table!F176=1,TRUE,FALSE))</f>
        <v>true</v>
      </c>
      <c r="F211" t="str">
        <f>LOWER(IF(orig_e_resources_table!I176=1,TRUE,FALSE))</f>
        <v>false</v>
      </c>
      <c r="G211" t="str">
        <f>SUBSTITUTE(SUBSTITUTE(orig_e_resources_table!O176,CHAR(13),""),CHAR(10),"")</f>
        <v>Science.gov is a gateway to over 50 million pages of authoritative selected science information provided by U.S. government agencies, including research and development results.</v>
      </c>
      <c r="I211" t="str">
        <f t="shared" si="3"/>
        <v>xxx</v>
      </c>
      <c r="J211" t="s">
        <v>1200</v>
      </c>
    </row>
    <row r="212" spans="1:10" x14ac:dyDescent="0.25">
      <c r="A212">
        <v>176</v>
      </c>
      <c r="B212" t="str">
        <f>orig_e_resources_table!B177</f>
        <v>ScienceDirect</v>
      </c>
      <c r="C212" t="str">
        <f>IF(orig_e_resources_table!C177="","",orig_e_resources_table!C177)</f>
        <v/>
      </c>
      <c r="D212" t="str">
        <f>orig_e_resources_table!D177</f>
        <v>http://www.sciencedirect.com/science?_ob=JournalListURL&amp;_update=y&amp;_auth=y&amp;_acct=C000038758&amp;md5=53ed6a00967cec5320d541a476b9d31e&amp;subjColl=all&amp;stype=title&amp;type=subscribed</v>
      </c>
      <c r="E212" t="str">
        <f>LOWER(IF(orig_e_resources_table!F177=1,TRUE,FALSE))</f>
        <v>true</v>
      </c>
      <c r="F212" t="str">
        <f>LOWER(IF(orig_e_resources_table!I177=1,TRUE,FALSE))</f>
        <v>true</v>
      </c>
      <c r="G212" t="str">
        <f>SUBSTITUTE(SUBSTITUTE(orig_e_resources_table!O177,CHAR(13),""),CHAR(10),"")</f>
        <v>Online access to journals published by Elsevier, mainly in the fields of science, technology, and medicine. Use the Browse links to search for journals by subject area or title.</v>
      </c>
      <c r="I212" t="str">
        <f t="shared" si="3"/>
        <v>xxx</v>
      </c>
      <c r="J212" t="s">
        <v>1200</v>
      </c>
    </row>
    <row r="213" spans="1:10" x14ac:dyDescent="0.25">
      <c r="A213">
        <v>177</v>
      </c>
      <c r="B213" t="str">
        <f>orig_e_resources_table!B178</f>
        <v>SciFinder Scholar</v>
      </c>
      <c r="C213" t="str">
        <f>IF(orig_e_resources_table!C178="","",orig_e_resources_table!C178)</f>
        <v/>
      </c>
      <c r="D213" t="str">
        <f>orig_e_resources_table!D178</f>
        <v>https://scifinder.cas.org/scifinder</v>
      </c>
      <c r="E213" t="str">
        <f>LOWER(IF(orig_e_resources_table!F178=1,TRUE,FALSE))</f>
        <v>true</v>
      </c>
      <c r="F213" t="str">
        <f>LOWER(IF(orig_e_resources_table!I178=1,TRUE,FALSE))</f>
        <v>true</v>
      </c>
      <c r="G213" t="str">
        <f>SUBSTITUTE(SUBSTITUTE(orig_e_resources_table!O178,CHAR(13),""),CHAR(10),"")</f>
        <v xml:space="preserve">SciFinder is the premier research tool for chemical, biological, biomedical, and related scientific information. </v>
      </c>
      <c r="I213" t="str">
        <f t="shared" si="3"/>
        <v>xxx</v>
      </c>
      <c r="J213" t="s">
        <v>1200</v>
      </c>
    </row>
    <row r="214" spans="1:10" x14ac:dyDescent="0.25">
      <c r="A214">
        <v>179</v>
      </c>
      <c r="B214" t="str">
        <f>orig_e_resources_table!B180</f>
        <v>Scirus</v>
      </c>
      <c r="C214" t="str">
        <f>IF(orig_e_resources_table!C180="","",orig_e_resources_table!C180)</f>
        <v/>
      </c>
      <c r="D214" t="str">
        <f>orig_e_resources_table!D180</f>
        <v>http://scirus.com/</v>
      </c>
      <c r="E214" t="str">
        <f>LOWER(IF(orig_e_resources_table!F180=1,TRUE,FALSE))</f>
        <v>true</v>
      </c>
      <c r="F214" t="str">
        <f>LOWER(IF(orig_e_resources_table!I180=1,TRUE,FALSE))</f>
        <v>false</v>
      </c>
      <c r="G214" t="str">
        <f>SUBSTITUTE(SUBSTITUTE(orig_e_resources_table!O180,CHAR(13),""),CHAR(10),"")</f>
        <v>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v>
      </c>
      <c r="I214" t="str">
        <f t="shared" si="3"/>
        <v>xxx</v>
      </c>
      <c r="J214" t="s">
        <v>1200</v>
      </c>
    </row>
    <row r="215" spans="1:10" x14ac:dyDescent="0.25">
      <c r="A215">
        <v>180</v>
      </c>
      <c r="B215" t="str">
        <f>orig_e_resources_table!B181</f>
        <v>Scitation</v>
      </c>
      <c r="C215" t="str">
        <f>IF(orig_e_resources_table!C181="","",orig_e_resources_table!C181)</f>
        <v/>
      </c>
      <c r="D215" t="str">
        <f>orig_e_resources_table!D181</f>
        <v>http://scitation.aip.org/</v>
      </c>
      <c r="E215" t="str">
        <f>LOWER(IF(orig_e_resources_table!F181=1,TRUE,FALSE))</f>
        <v>true</v>
      </c>
      <c r="F215" t="str">
        <f>LOWER(IF(orig_e_resources_table!I181=1,TRUE,FALSE))</f>
        <v>true</v>
      </c>
      <c r="G215" t="str">
        <f>SUBSTITUTE(SUBSTITUTE(orig_e_resources_table!O181,CHAR(13),""),CHAR(10),"")</f>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c r="I215" t="str">
        <f t="shared" si="3"/>
        <v>xxx</v>
      </c>
      <c r="J215" t="s">
        <v>1200</v>
      </c>
    </row>
    <row r="216" spans="1:10" x14ac:dyDescent="0.25">
      <c r="A216">
        <v>251</v>
      </c>
      <c r="B216" t="str">
        <f>orig_e_resources_table!B252</f>
        <v>Share.iit</v>
      </c>
      <c r="C216" t="str">
        <f>IF(orig_e_resources_table!C252="","",orig_e_resources_table!C252)</f>
        <v/>
      </c>
      <c r="D216" t="str">
        <f>orig_e_resources_table!D252</f>
        <v>http://share.iit.edu</v>
      </c>
      <c r="E216" t="str">
        <f>LOWER(IF(orig_e_resources_table!F252=1,TRUE,FALSE))</f>
        <v>true</v>
      </c>
      <c r="F216" t="str">
        <f>LOWER(IF(orig_e_resources_table!I252=1,TRUE,FALSE))</f>
        <v>false</v>
      </c>
      <c r="G216" t="str">
        <f>SUBSTITUTE(SUBSTITUTE(orig_e_resources_table!O252,CHAR(13),""),CHAR(10),"")</f>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c r="I216" t="str">
        <f t="shared" si="3"/>
        <v>xxx</v>
      </c>
      <c r="J216" t="s">
        <v>1223</v>
      </c>
    </row>
    <row r="217" spans="1:10" x14ac:dyDescent="0.25">
      <c r="A217">
        <v>181</v>
      </c>
      <c r="B217" t="str">
        <f>orig_e_resources_table!B182</f>
        <v>SIAM Journals</v>
      </c>
      <c r="C217" t="str">
        <f>IF(orig_e_resources_table!C182="","",orig_e_resources_table!C182)</f>
        <v>Society for Industrial and Applied Mathematics</v>
      </c>
      <c r="D217" t="str">
        <f>orig_e_resources_table!D182</f>
        <v>http://epubs.siam.org/</v>
      </c>
      <c r="E217" t="str">
        <f>LOWER(IF(orig_e_resources_table!F182=1,TRUE,FALSE))</f>
        <v>true</v>
      </c>
      <c r="F217" t="str">
        <f>LOWER(IF(orig_e_resources_table!I182=1,TRUE,FALSE))</f>
        <v>true</v>
      </c>
      <c r="G217" t="str">
        <f>SUBSTITUTE(SUBSTITUTE(orig_e_resources_table!O182,CHAR(13),""),CHAR(10),"")</f>
        <v>An online digital library of publications of the Society for Industrial and Applied Mathematics, from 1997-present. Use the Advanced Search feature to search multiple titles simultaneously.</v>
      </c>
      <c r="I217" t="str">
        <f t="shared" si="3"/>
        <v>xxx</v>
      </c>
      <c r="J217" t="s">
        <v>1200</v>
      </c>
    </row>
    <row r="218" spans="1:10" x14ac:dyDescent="0.25">
      <c r="A218">
        <v>182</v>
      </c>
      <c r="B218" t="str">
        <f>orig_e_resources_table!B183</f>
        <v>SIAM Locus</v>
      </c>
      <c r="C218" t="str">
        <f>IF(orig_e_resources_table!C183="","",orig_e_resources_table!C183)</f>
        <v>Society for Industrial and Applied Mathematics</v>
      </c>
      <c r="D218" t="str">
        <f>orig_e_resources_table!D183</f>
        <v>http://locus.siam.org/</v>
      </c>
      <c r="E218" t="str">
        <f>LOWER(IF(orig_e_resources_table!F183=1,TRUE,FALSE))</f>
        <v>true</v>
      </c>
      <c r="F218" t="str">
        <f>LOWER(IF(orig_e_resources_table!I183=1,TRUE,FALSE))</f>
        <v>true</v>
      </c>
      <c r="G218" t="str">
        <f>SUBSTITUTE(SUBSTITUTE(orig_e_resources_table!O183,CHAR(13),""),CHAR(10),"")</f>
        <v xml:space="preserve">Online digital library of publications of the Society for Industrial and Applied Mathematics from 1952-1996. Browse by journal title or use the Advanced Search feature to search multiple titles simultaneously. </v>
      </c>
      <c r="I218" t="str">
        <f t="shared" si="3"/>
        <v>xxx</v>
      </c>
      <c r="J218" t="s">
        <v>1200</v>
      </c>
    </row>
    <row r="219" spans="1:10" x14ac:dyDescent="0.25">
      <c r="A219">
        <v>28</v>
      </c>
      <c r="B219" t="str">
        <f>orig_e_resources_table!B29</f>
        <v>Simmons Choices</v>
      </c>
      <c r="C219" t="str">
        <f>IF(orig_e_resources_table!C29="","",orig_e_resources_table!C29)</f>
        <v>NULL</v>
      </c>
      <c r="D219" t="str">
        <f>orig_e_resources_table!D29</f>
        <v>#</v>
      </c>
      <c r="E219" t="str">
        <f>LOWER(IF(orig_e_resources_table!F29=1,TRUE,FALSE))</f>
        <v>false</v>
      </c>
      <c r="F219" t="str">
        <f>LOWER(IF(orig_e_resources_table!I29=1,TRUE,FALSE))</f>
        <v>true</v>
      </c>
      <c r="G219" t="str">
        <f>SUBSTITUTE(SUBSTITUTE(orig_e_resources_table!O29,CHAR(13),""),CHAR(10),"")</f>
        <v>Choices is a powerful tool for market research that allows you to profile the demographics and psychographics of product users, as well as track their media consumption habits.</v>
      </c>
      <c r="I219" t="str">
        <f t="shared" si="3"/>
        <v/>
      </c>
      <c r="J219" t="s">
        <v>1200</v>
      </c>
    </row>
    <row r="220" spans="1:10" x14ac:dyDescent="0.25">
      <c r="A220">
        <v>183</v>
      </c>
      <c r="B220" t="str">
        <f>orig_e_resources_table!B184</f>
        <v>Smithsonian Photography Initiative</v>
      </c>
      <c r="C220" t="str">
        <f>IF(orig_e_resources_table!C184="","",orig_e_resources_table!C184)</f>
        <v/>
      </c>
      <c r="D220" t="str">
        <f>orig_e_resources_table!D184</f>
        <v>http://photography.si.edu/</v>
      </c>
      <c r="E220" t="str">
        <f>LOWER(IF(orig_e_resources_table!F184=1,TRUE,FALSE))</f>
        <v>true</v>
      </c>
      <c r="F220" t="str">
        <f>LOWER(IF(orig_e_resources_table!I184=1,TRUE,FALSE))</f>
        <v>false</v>
      </c>
      <c r="G220" t="str">
        <f>SUBSTITUTE(SUBSTITUTE(orig_e_resources_table!O184,CHAR(13),""),CHAR(10),"")</f>
        <v xml:space="preserve">Image database featuring more than 13 million images in some seven hundred collections throughout Smithsonian museums and research centers. Subject areas include aerospace engineering, history, manufacturing, and the humanities. </v>
      </c>
      <c r="I220" t="str">
        <f t="shared" si="3"/>
        <v>xxx</v>
      </c>
      <c r="J220" t="s">
        <v>1200</v>
      </c>
    </row>
    <row r="221" spans="1:10" x14ac:dyDescent="0.25">
      <c r="A221">
        <v>184</v>
      </c>
      <c r="B221" t="str">
        <f>orig_e_resources_table!B185</f>
        <v>Social Services Abstracts</v>
      </c>
      <c r="C221" t="str">
        <f>IF(orig_e_resources_table!C185="","",orig_e_resources_table!C185)</f>
        <v/>
      </c>
      <c r="D221" t="str">
        <f>orig_e_resources_table!D185</f>
        <v>http://www.csa.com/htbin/dbrng.cgi?username=paulg&amp;access=paulg20&amp;db=ssa-set-c</v>
      </c>
      <c r="E221" t="str">
        <f>LOWER(IF(orig_e_resources_table!F185=1,TRUE,FALSE))</f>
        <v>false</v>
      </c>
      <c r="F221" t="str">
        <f>LOWER(IF(orig_e_resources_table!I185=1,TRUE,FALSE))</f>
        <v>true</v>
      </c>
      <c r="G221" t="str">
        <f>SUBSTITUTE(SUBSTITUTE(orig_e_resources_table!O185,CHAR(13),""),CHAR(10),"")</f>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c r="I221" t="str">
        <f t="shared" si="3"/>
        <v/>
      </c>
      <c r="J221" t="s">
        <v>1200</v>
      </c>
    </row>
    <row r="222" spans="1:10" x14ac:dyDescent="0.25">
      <c r="A222">
        <v>185</v>
      </c>
      <c r="B222" t="str">
        <f>orig_e_resources_table!B186</f>
        <v>Sociological Abstracts</v>
      </c>
      <c r="C222" t="str">
        <f>IF(orig_e_resources_table!C186="","",orig_e_resources_table!C186)</f>
        <v/>
      </c>
      <c r="D222" t="str">
        <f>orig_e_resources_table!D186</f>
        <v>http://www.csa.com/htbin/dbrng.cgi?username=paulg&amp;access=paulg20&amp;db=socioabs-set-c</v>
      </c>
      <c r="E222" t="str">
        <f>LOWER(IF(orig_e_resources_table!F186=1,TRUE,FALSE))</f>
        <v>false</v>
      </c>
      <c r="F222" t="str">
        <f>LOWER(IF(orig_e_resources_table!I186=1,TRUE,FALSE))</f>
        <v>true</v>
      </c>
      <c r="G222" t="str">
        <f>SUBSTITUTE(SUBSTITUTE(orig_e_resources_table!O186,CHAR(13),""),CHAR(10),"")</f>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c r="I222" t="str">
        <f t="shared" si="3"/>
        <v/>
      </c>
      <c r="J222" t="s">
        <v>1200</v>
      </c>
    </row>
    <row r="223" spans="1:10" x14ac:dyDescent="0.25">
      <c r="A223">
        <v>186</v>
      </c>
      <c r="B223" t="str">
        <f>orig_e_resources_table!B187</f>
        <v>Solid State and Superconductivity Abstracts</v>
      </c>
      <c r="C223" t="str">
        <f>IF(orig_e_resources_table!C187="","",orig_e_resources_table!C187)</f>
        <v/>
      </c>
      <c r="D223" t="str">
        <f>orig_e_resources_table!D187</f>
        <v>http://www.csa.com/htbin/dbrng.cgi?username=paulg&amp;access=paulg20&amp;db=solid-state-set-c</v>
      </c>
      <c r="E223" t="str">
        <f>LOWER(IF(orig_e_resources_table!F187=1,TRUE,FALSE))</f>
        <v>false</v>
      </c>
      <c r="F223" t="str">
        <f>LOWER(IF(orig_e_resources_table!I187=1,TRUE,FALSE))</f>
        <v>true</v>
      </c>
      <c r="G223" t="str">
        <f>SUBSTITUTE(SUBSTITUTE(orig_e_resources_table!O187,CHAR(13),""),CHAR(10),"")</f>
        <v>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v>
      </c>
      <c r="I223" t="str">
        <f t="shared" si="3"/>
        <v/>
      </c>
      <c r="J223" t="s">
        <v>1200</v>
      </c>
    </row>
    <row r="224" spans="1:10" x14ac:dyDescent="0.25">
      <c r="A224">
        <v>187</v>
      </c>
      <c r="B224" t="str">
        <f>orig_e_resources_table!B188</f>
        <v>SPIRES-HEP</v>
      </c>
      <c r="C224" t="str">
        <f>IF(orig_e_resources_table!C188="","",orig_e_resources_table!C188)</f>
        <v>High-Energy Physics Literature Database</v>
      </c>
      <c r="D224" t="str">
        <f>orig_e_resources_table!D188</f>
        <v>http://www.slac.stanford.edu/spires/hep/</v>
      </c>
      <c r="E224" t="str">
        <f>LOWER(IF(orig_e_resources_table!F188=1,TRUE,FALSE))</f>
        <v>true</v>
      </c>
      <c r="F224" t="str">
        <f>LOWER(IF(orig_e_resources_table!I188=1,TRUE,FALSE))</f>
        <v>false</v>
      </c>
      <c r="G224" t="str">
        <f>SUBSTITUTE(SUBSTITUTE(orig_e_resources_table!O188,CHAR(13),""),CHAR(10),"")</f>
        <v>More than 500,000 high-energy physics related articles, including journal papers, preprints, e-prints, technical reports, conference papers and theses, comprehensively indexed by the SLAC and DESY libraries since 1974.</v>
      </c>
      <c r="I224" t="str">
        <f t="shared" si="3"/>
        <v>xxx</v>
      </c>
      <c r="J224" t="s">
        <v>1200</v>
      </c>
    </row>
    <row r="225" spans="1:10" x14ac:dyDescent="0.25">
      <c r="A225">
        <v>243</v>
      </c>
      <c r="B225" t="str">
        <f>orig_e_resources_table!B244</f>
        <v>Springer eBooks</v>
      </c>
      <c r="C225" t="str">
        <f>IF(orig_e_resources_table!C244="","",orig_e_resources_table!C244)</f>
        <v>NULL</v>
      </c>
      <c r="D225" t="str">
        <f>orig_e_resources_table!D244</f>
        <v>http://www.springerlink.com/books</v>
      </c>
      <c r="E225" t="str">
        <f>LOWER(IF(orig_e_resources_table!F244=1,TRUE,FALSE))</f>
        <v>true</v>
      </c>
      <c r="F225" t="str">
        <f>LOWER(IF(orig_e_resources_table!I244=1,TRUE,FALSE))</f>
        <v>true</v>
      </c>
      <c r="G225" t="str">
        <f>SUBSTITUTE(SUBSTITUTE(orig_e_resources_table!O244,CHAR(13),""),CHAR(10),"")</f>
        <v>Springer eBooks features the full text of academic publications covering the following subjects: Architecture, Design, Business, Economics, Behavioral Science, Biomedical &amp;amp; Life Sciences, and Medicine.</v>
      </c>
      <c r="I225" t="str">
        <f t="shared" si="3"/>
        <v>xxx</v>
      </c>
      <c r="J225" t="s">
        <v>1208</v>
      </c>
    </row>
    <row r="226" spans="1:10" x14ac:dyDescent="0.25">
      <c r="A226">
        <v>188</v>
      </c>
      <c r="B226" t="str">
        <f>orig_e_resources_table!B189</f>
        <v>SpringerLink</v>
      </c>
      <c r="C226" t="str">
        <f>IF(orig_e_resources_table!C189="","",orig_e_resources_table!C189)</f>
        <v/>
      </c>
      <c r="D226" t="str">
        <f>orig_e_resources_table!D189</f>
        <v>http://www.springerlink.com/home/main.mpx</v>
      </c>
      <c r="E226" t="str">
        <f>LOWER(IF(orig_e_resources_table!F189=1,TRUE,FALSE))</f>
        <v>true</v>
      </c>
      <c r="F226" t="str">
        <f>LOWER(IF(orig_e_resources_table!I189=1,TRUE,FALSE))</f>
        <v>true</v>
      </c>
      <c r="G226" t="str">
        <f>SUBSTITUTE(SUBSTITUTE(orig_e_resources_table!O189,CHAR(13),""),CHAR(10),"")</f>
        <v>Provides electronic access to the complete contents of a growing collection of SpringerLink journals in subjects including Mathematics and Computer Science (formerly Kluwer Journals).</v>
      </c>
      <c r="I226" t="str">
        <f t="shared" si="3"/>
        <v>xxx</v>
      </c>
      <c r="J226" t="s">
        <v>1200</v>
      </c>
    </row>
    <row r="227" spans="1:10" x14ac:dyDescent="0.25">
      <c r="A227">
        <v>258</v>
      </c>
      <c r="B227" t="str">
        <f>orig_e_resources_table!B259</f>
        <v>SpringerMaterials</v>
      </c>
      <c r="C227" t="str">
        <f>IF(orig_e_resources_table!C259="","",orig_e_resources_table!C259)</f>
        <v>NULL</v>
      </c>
      <c r="D227" t="str">
        <f>orig_e_resources_table!D259</f>
        <v>http://www.springermaterials.com</v>
      </c>
      <c r="E227" t="str">
        <f>LOWER(IF(orig_e_resources_table!F259=1,TRUE,FALSE))</f>
        <v>true</v>
      </c>
      <c r="F227" t="str">
        <f>LOWER(IF(orig_e_resources_table!I259=1,TRUE,FALSE))</f>
        <v>true</v>
      </c>
      <c r="G227" t="str">
        <f>SUBSTITUTE(SUBSTITUTE(orig_e_resources_table!O259,CHAR(13),""),CHAR(10),"")</f>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c r="I227" t="str">
        <f t="shared" si="3"/>
        <v>xxx</v>
      </c>
      <c r="J227" t="s">
        <v>1200</v>
      </c>
    </row>
    <row r="228" spans="1:10" x14ac:dyDescent="0.25">
      <c r="A228">
        <v>252</v>
      </c>
      <c r="B228" t="str">
        <f>orig_e_resources_table!B253</f>
        <v>SSRN - Social Science Research Network</v>
      </c>
      <c r="C228" t="str">
        <f>IF(orig_e_resources_table!C253="","",orig_e_resources_table!C253)</f>
        <v/>
      </c>
      <c r="D228" t="str">
        <f>orig_e_resources_table!D253</f>
        <v>http://papers.ssrn.com/sol3/</v>
      </c>
      <c r="E228" t="str">
        <f>LOWER(IF(orig_e_resources_table!F253=1,TRUE,FALSE))</f>
        <v>true</v>
      </c>
      <c r="F228" t="str">
        <f>LOWER(IF(orig_e_resources_table!I253=1,TRUE,FALSE))</f>
        <v>false</v>
      </c>
      <c r="G228" t="str">
        <f>SUBSTITUTE(SUBSTITUTE(orig_e_resources_table!O253,CHAR(13),""),CHAR(10),"")</f>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c r="I228" t="str">
        <f t="shared" si="3"/>
        <v>xxx</v>
      </c>
      <c r="J228" t="s">
        <v>1200</v>
      </c>
    </row>
    <row r="229" spans="1:10" x14ac:dyDescent="0.25">
      <c r="A229">
        <v>218</v>
      </c>
      <c r="B229" t="str">
        <f>orig_e_resources_table!B219</f>
        <v>Standard &amp;amp; Poor's NetAdvantage</v>
      </c>
      <c r="C229" t="str">
        <f>IF(orig_e_resources_table!C219="","",orig_e_resources_table!C219)</f>
        <v>NULL</v>
      </c>
      <c r="D229" t="str">
        <f>orig_e_resources_table!D219</f>
        <v>http://www.netadvantage.standardandpoors.com</v>
      </c>
      <c r="E229" t="str">
        <f>LOWER(IF(orig_e_resources_table!F219=1,TRUE,FALSE))</f>
        <v>false</v>
      </c>
      <c r="F229" t="str">
        <f>LOWER(IF(orig_e_resources_table!I219=1,TRUE,FALSE))</f>
        <v>true</v>
      </c>
      <c r="G229" t="str">
        <f>SUBSTITUTE(SUBSTITUTE(orig_e_resources_table!O219,CHAR(13),""),CHAR(10),"")</f>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c r="I229" t="str">
        <f t="shared" si="3"/>
        <v/>
      </c>
      <c r="J229" t="s">
        <v>1200</v>
      </c>
    </row>
    <row r="230" spans="1:10" x14ac:dyDescent="0.25">
      <c r="A230">
        <v>189</v>
      </c>
      <c r="B230" t="str">
        <f>orig_e_resources_table!B190</f>
        <v>State and County QuickFacts</v>
      </c>
      <c r="C230" t="str">
        <f>IF(orig_e_resources_table!C190="","",orig_e_resources_table!C190)</f>
        <v/>
      </c>
      <c r="D230" t="str">
        <f>orig_e_resources_table!D190</f>
        <v>http://quickfacts.census.gov/qfd/</v>
      </c>
      <c r="E230" t="str">
        <f>LOWER(IF(orig_e_resources_table!F190=1,TRUE,FALSE))</f>
        <v>true</v>
      </c>
      <c r="F230" t="str">
        <f>LOWER(IF(orig_e_resources_table!I190=1,TRUE,FALSE))</f>
        <v>false</v>
      </c>
      <c r="G230" t="str">
        <f>SUBSTITUTE(SUBSTITUTE(orig_e_resources_table!O190,CHAR(13),""),CHAR(10),"")</f>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c r="I230" t="str">
        <f t="shared" si="3"/>
        <v>xxx</v>
      </c>
      <c r="J230" t="s">
        <v>1207</v>
      </c>
    </row>
    <row r="231" spans="1:10" x14ac:dyDescent="0.25">
      <c r="A231">
        <v>190</v>
      </c>
      <c r="B231" t="str">
        <f>orig_e_resources_table!B191</f>
        <v>Stat-USA</v>
      </c>
      <c r="C231" t="str">
        <f>IF(orig_e_resources_table!C191="","",orig_e_resources_table!C191)</f>
        <v/>
      </c>
      <c r="D231" t="str">
        <f>orig_e_resources_table!D191</f>
        <v>http://www.stat-usa.gov/</v>
      </c>
      <c r="E231" t="str">
        <f>LOWER(IF(orig_e_resources_table!F191=1,TRUE,FALSE))</f>
        <v>false</v>
      </c>
      <c r="F231" t="str">
        <f>LOWER(IF(orig_e_resources_table!I191=1,TRUE,FALSE))</f>
        <v>false</v>
      </c>
      <c r="G231" t="str">
        <f>SUBSTITUTE(SUBSTITUTE(orig_e_resources_table!O191,CHAR(13),""),CHAR(10),"")</f>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c r="I231" t="str">
        <f t="shared" si="3"/>
        <v/>
      </c>
      <c r="J231" t="s">
        <v>1207</v>
      </c>
    </row>
    <row r="232" spans="1:10" x14ac:dyDescent="0.25">
      <c r="A232">
        <v>191</v>
      </c>
      <c r="B232" t="str">
        <f>orig_e_resources_table!B192</f>
        <v>Sustainability Science Abstracts</v>
      </c>
      <c r="C232" t="str">
        <f>IF(orig_e_resources_table!C192="","",orig_e_resources_table!C192)</f>
        <v/>
      </c>
      <c r="D232" t="str">
        <f>orig_e_resources_table!D192</f>
        <v>http://www.csa.com/htbin/dbrng.cgi?username=paulg&amp;access=paulg20&amp;db=sustain-set-c.php</v>
      </c>
      <c r="E232" t="str">
        <f>LOWER(IF(orig_e_resources_table!F192=1,TRUE,FALSE))</f>
        <v>false</v>
      </c>
      <c r="F232" t="str">
        <f>LOWER(IF(orig_e_resources_table!I192=1,TRUE,FALSE))</f>
        <v>true</v>
      </c>
      <c r="G232" t="str">
        <f>SUBSTITUTE(SUBSTITUTE(orig_e_resources_table!O192,CHAR(13),""),CHAR(10),"")</f>
        <v>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v>
      </c>
      <c r="I232" t="str">
        <f t="shared" si="3"/>
        <v/>
      </c>
      <c r="J232" t="s">
        <v>1200</v>
      </c>
    </row>
    <row r="233" spans="1:10" x14ac:dyDescent="0.25">
      <c r="A233">
        <v>239</v>
      </c>
      <c r="B233" t="str">
        <f>orig_e_resources_table!B240</f>
        <v>Synthesis Lectures on Biomedical Engineering</v>
      </c>
      <c r="C233" t="str">
        <f>IF(orig_e_resources_table!C240="","",orig_e_resources_table!C240)</f>
        <v>NULL</v>
      </c>
      <c r="D233" t="str">
        <f>orig_e_resources_table!D240</f>
        <v>http://www.morganclaypool.com/page/bec</v>
      </c>
      <c r="E233" t="str">
        <f>LOWER(IF(orig_e_resources_table!F240=1,TRUE,FALSE))</f>
        <v>true</v>
      </c>
      <c r="F233" t="str">
        <f>LOWER(IF(orig_e_resources_table!I240=1,TRUE,FALSE))</f>
        <v>true</v>
      </c>
      <c r="G233" t="str">
        <f>SUBSTITUTE(SUBSTITUTE(orig_e_resources_table!O240,CHAR(13),""),CHAR(10),"")</f>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c r="I233" t="str">
        <f t="shared" si="3"/>
        <v>xxx</v>
      </c>
      <c r="J233" t="s">
        <v>1200</v>
      </c>
    </row>
    <row r="234" spans="1:10" x14ac:dyDescent="0.25">
      <c r="A234">
        <v>192</v>
      </c>
      <c r="B234" t="str">
        <f>orig_e_resources_table!B193</f>
        <v>Teacher Reference Center</v>
      </c>
      <c r="C234" t="str">
        <f>IF(orig_e_resources_table!C193="","",orig_e_resources_table!C193)</f>
        <v/>
      </c>
      <c r="D234" t="str">
        <f>orig_e_resources_table!D193</f>
        <v>http://search.EBSCOhost.com/login.asp?profile=web&amp;defaultdb=trh</v>
      </c>
      <c r="E234" t="str">
        <f>LOWER(IF(orig_e_resources_table!F193=1,TRUE,FALSE))</f>
        <v>true</v>
      </c>
      <c r="F234" t="str">
        <f>LOWER(IF(orig_e_resources_table!I193=1,TRUE,FALSE))</f>
        <v>true</v>
      </c>
      <c r="G234" t="str">
        <f>SUBSTITUTE(SUBSTITUTE(orig_e_resources_table!O193,CHAR(13),""),CHAR(10),"")</f>
        <v>Provides indexing and abstracts for more than 270 of the most popular teacher and administrator journals and magazines to assist professional educators.</v>
      </c>
      <c r="I234" t="str">
        <f t="shared" si="3"/>
        <v>xxx</v>
      </c>
      <c r="J234" t="s">
        <v>1200</v>
      </c>
    </row>
    <row r="235" spans="1:10" x14ac:dyDescent="0.25">
      <c r="A235">
        <v>109</v>
      </c>
      <c r="B235" t="str">
        <f>orig_e_resources_table!B110</f>
        <v>Tech News Collection</v>
      </c>
      <c r="C235" t="str">
        <f>IF(orig_e_resources_table!C110="","",orig_e_resources_table!C110)</f>
        <v/>
      </c>
      <c r="D235" t="str">
        <f>orig_e_resources_table!D110</f>
        <v>http://library.iit.edu/technews/</v>
      </c>
      <c r="E235" t="str">
        <f>LOWER(IF(orig_e_resources_table!F110=1,TRUE,FALSE))</f>
        <v>true</v>
      </c>
      <c r="F235" t="str">
        <f>LOWER(IF(orig_e_resources_table!I110=1,TRUE,FALSE))</f>
        <v>false</v>
      </c>
      <c r="G235" t="str">
        <f>SUBSTITUTE(SUBSTITUTE(orig_e_resources_table!O110,CHAR(13),""),CHAR(10),"")</f>
        <v>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v>
      </c>
      <c r="I235" t="str">
        <f t="shared" si="3"/>
        <v>xxx</v>
      </c>
      <c r="J235" t="s">
        <v>1203</v>
      </c>
    </row>
    <row r="236" spans="1:10" x14ac:dyDescent="0.25">
      <c r="A236">
        <v>241</v>
      </c>
      <c r="B236" t="str">
        <f>orig_e_resources_table!B242</f>
        <v>Tests in Print</v>
      </c>
      <c r="C236" t="str">
        <f>IF(orig_e_resources_table!C242="","",orig_e_resources_table!C242)</f>
        <v>NULL</v>
      </c>
      <c r="D236" t="str">
        <f>orig_e_resources_table!D242</f>
        <v>http://search.EBSCOhost.com/login.asp?profile=web&amp;defaultdb=lph</v>
      </c>
      <c r="E236" t="str">
        <f>LOWER(IF(orig_e_resources_table!F242=1,TRUE,FALSE))</f>
        <v>false</v>
      </c>
      <c r="F236" t="str">
        <f>LOWER(IF(orig_e_resources_table!I242=1,TRUE,FALSE))</f>
        <v>true</v>
      </c>
      <c r="G236" t="str">
        <f>SUBSTITUTE(SUBSTITUTE(orig_e_resources_table!O242,CHAR(13),""),CHAR(10),"")</f>
        <v>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v>
      </c>
      <c r="I236" t="str">
        <f t="shared" si="3"/>
        <v/>
      </c>
      <c r="J236" t="s">
        <v>1200</v>
      </c>
    </row>
    <row r="237" spans="1:10" x14ac:dyDescent="0.25">
      <c r="A237">
        <v>255</v>
      </c>
      <c r="B237" t="str">
        <f>orig_e_resources_table!B256</f>
        <v>The Times (London)</v>
      </c>
      <c r="C237" t="str">
        <f>IF(orig_e_resources_table!C256="","",orig_e_resources_table!C256)</f>
        <v>NULL</v>
      </c>
      <c r="D237" t="str">
        <f>orig_e_resources_table!D256</f>
        <v>http://find.galegroup.com/ttda/start.do?userGroupName=chic7029</v>
      </c>
      <c r="E237" t="str">
        <f>LOWER(IF(orig_e_resources_table!F256=1,TRUE,FALSE))</f>
        <v>true</v>
      </c>
      <c r="F237" t="str">
        <f>LOWER(IF(orig_e_resources_table!I256=1,TRUE,FALSE))</f>
        <v>true</v>
      </c>
      <c r="G237" t="str">
        <f>SUBSTITUTE(SUBSTITUTE(orig_e_resources_table!O256,CHAR(13),""),CHAR(10),"")</f>
        <v xml:space="preserve">Complete issues of The Times (London) from 1785 to 2006. Includes headlines, articles, images, editorials, advertisements and from the United Kingdom's paper of record. </v>
      </c>
      <c r="I237" t="str">
        <f t="shared" si="3"/>
        <v>xxx</v>
      </c>
      <c r="J237" t="s">
        <v>1203</v>
      </c>
    </row>
    <row r="238" spans="1:10" x14ac:dyDescent="0.25">
      <c r="A238">
        <v>193</v>
      </c>
      <c r="B238" t="str">
        <f>orig_e_resources_table!B194</f>
        <v>Thesaurus.com</v>
      </c>
      <c r="C238" t="str">
        <f>IF(orig_e_resources_table!C194="","",orig_e_resources_table!C194)</f>
        <v/>
      </c>
      <c r="D238" t="str">
        <f>orig_e_resources_table!D194</f>
        <v>http://thesaurus.reference.com/</v>
      </c>
      <c r="E238" t="str">
        <f>LOWER(IF(orig_e_resources_table!F194=1,TRUE,FALSE))</f>
        <v>true</v>
      </c>
      <c r="F238" t="str">
        <f>LOWER(IF(orig_e_resources_table!I194=1,TRUE,FALSE))</f>
        <v>false</v>
      </c>
      <c r="G238" t="str">
        <f>SUBSTITUTE(SUBSTITUTE(orig_e_resources_table!O194,CHAR(13),""),CHAR(10),"")</f>
        <v>Thesaurus.com is produced by Lexico Publishing Group, LLC, a provider of language reference products and services on the Internet. The thesaurus that appears on this site is Roget's II: The New Thesaurus.</v>
      </c>
      <c r="I238" t="str">
        <f t="shared" si="3"/>
        <v>xxx</v>
      </c>
      <c r="J238" t="s">
        <v>1207</v>
      </c>
    </row>
    <row r="239" spans="1:10" x14ac:dyDescent="0.25">
      <c r="A239">
        <v>247</v>
      </c>
      <c r="B239" t="str">
        <f>orig_e_resources_table!B248</f>
        <v>Thomas Register</v>
      </c>
      <c r="C239" t="str">
        <f>IF(orig_e_resources_table!C248="","",orig_e_resources_table!C248)</f>
        <v>ThomasNet</v>
      </c>
      <c r="D239" t="str">
        <f>orig_e_resources_table!D248</f>
        <v>http://www.thomasnet.com/</v>
      </c>
      <c r="E239" t="str">
        <f>LOWER(IF(orig_e_resources_table!F248=1,TRUE,FALSE))</f>
        <v>true</v>
      </c>
      <c r="F239" t="str">
        <f>LOWER(IF(orig_e_resources_table!I248=1,TRUE,FALSE))</f>
        <v>false</v>
      </c>
      <c r="G239" t="str">
        <f>SUBSTITUTE(SUBSTITUTE(orig_e_resources_table!O248,CHAR(13),""),CHAR(10),"")</f>
        <v>An online directory of industrial product information covering 650,000 distributors, manufacturers and service companies within more than 67,000 industrial categories.</v>
      </c>
      <c r="I239" t="str">
        <f t="shared" si="3"/>
        <v>xxx</v>
      </c>
      <c r="J239" t="s">
        <v>1200</v>
      </c>
    </row>
    <row r="240" spans="1:10" x14ac:dyDescent="0.25">
      <c r="A240">
        <v>194</v>
      </c>
      <c r="B240" t="str">
        <f>orig_e_resources_table!B195</f>
        <v>ThomasNet</v>
      </c>
      <c r="C240" t="str">
        <f>IF(orig_e_resources_table!C195="","",orig_e_resources_table!C195)</f>
        <v/>
      </c>
      <c r="D240" t="str">
        <f>orig_e_resources_table!D195</f>
        <v>http://www.thomasnet.com/</v>
      </c>
      <c r="E240" t="str">
        <f>LOWER(IF(orig_e_resources_table!F195=1,TRUE,FALSE))</f>
        <v>true</v>
      </c>
      <c r="F240" t="str">
        <f>LOWER(IF(orig_e_resources_table!I195=1,TRUE,FALSE))</f>
        <v>false</v>
      </c>
      <c r="G240" t="str">
        <f>SUBSTITUTE(SUBSTITUTE(orig_e_resources_table!O195,CHAR(13),""),CHAR(10),"")</f>
        <v xml:space="preserve">Online version of the Thomas Register of American Manufacturers, a buying guide offering sourcing information on industrial products and services, along with comprehensive specifications and detailed product information from thousands of manufacturers. </v>
      </c>
      <c r="I240" t="str">
        <f t="shared" si="3"/>
        <v>xxx</v>
      </c>
      <c r="J240" t="s">
        <v>1200</v>
      </c>
    </row>
    <row r="241" spans="1:10" x14ac:dyDescent="0.25">
      <c r="A241">
        <v>195</v>
      </c>
      <c r="B241" t="str">
        <f>orig_e_resources_table!B196</f>
        <v>Toxicology Abstracts</v>
      </c>
      <c r="C241" t="str">
        <f>IF(orig_e_resources_table!C196="","",orig_e_resources_table!C196)</f>
        <v/>
      </c>
      <c r="D241" t="str">
        <f>orig_e_resources_table!D196</f>
        <v>http://www.csa.com/htbin/dbrng.cgi?username=paulg&amp;access=paulg20&amp;db=toxicology-set-c</v>
      </c>
      <c r="E241" t="str">
        <f>LOWER(IF(orig_e_resources_table!F196=1,TRUE,FALSE))</f>
        <v>false</v>
      </c>
      <c r="F241" t="str">
        <f>LOWER(IF(orig_e_resources_table!I196=1,TRUE,FALSE))</f>
        <v>true</v>
      </c>
      <c r="G241" t="str">
        <f>SUBSTITUTE(SUBSTITUTE(orig_e_resources_table!O196,CHAR(13),""),CHAR(10),"")</f>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c r="I241" t="str">
        <f t="shared" si="3"/>
        <v/>
      </c>
      <c r="J241" t="s">
        <v>1200</v>
      </c>
    </row>
    <row r="242" spans="1:10" x14ac:dyDescent="0.25">
      <c r="A242">
        <v>196</v>
      </c>
      <c r="B242" t="str">
        <f>orig_e_resources_table!B197</f>
        <v>TOXLINE</v>
      </c>
      <c r="C242" t="str">
        <f>IF(orig_e_resources_table!C197="","",orig_e_resources_table!C197)</f>
        <v/>
      </c>
      <c r="D242" t="str">
        <f>orig_e_resources_table!D197</f>
        <v>http://www.csa.com/htbin/dbrng.cgi?username=paulg&amp;access=paulg20&amp;db=toxline-set-c</v>
      </c>
      <c r="E242" t="str">
        <f>LOWER(IF(orig_e_resources_table!F197=1,TRUE,FALSE))</f>
        <v>false</v>
      </c>
      <c r="F242" t="str">
        <f>LOWER(IF(orig_e_resources_table!I197=1,TRUE,FALSE))</f>
        <v>true</v>
      </c>
      <c r="G242" t="str">
        <f>SUBSTITUTE(SUBSTITUTE(orig_e_resources_table!O197,CHAR(13),""),CHAR(10),"")</f>
        <v>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v>
      </c>
      <c r="I242" t="str">
        <f t="shared" si="3"/>
        <v/>
      </c>
      <c r="J242" t="s">
        <v>1200</v>
      </c>
    </row>
    <row r="243" spans="1:10" x14ac:dyDescent="0.25">
      <c r="A243">
        <v>250</v>
      </c>
      <c r="B243" t="str">
        <f>orig_e_resources_table!B251</f>
        <v>TRAIL</v>
      </c>
      <c r="C243" t="str">
        <f>IF(orig_e_resources_table!C251="","",orig_e_resources_table!C251)</f>
        <v>Technical Report Archive And Image Library</v>
      </c>
      <c r="D243" t="str">
        <f>orig_e_resources_table!D251</f>
        <v>http://www.technicalreports.org</v>
      </c>
      <c r="E243" t="str">
        <f>LOWER(IF(orig_e_resources_table!F251=1,TRUE,FALSE))</f>
        <v>true</v>
      </c>
      <c r="F243" t="str">
        <f>LOWER(IF(orig_e_resources_table!I251=1,TRUE,FALSE))</f>
        <v>false</v>
      </c>
      <c r="G243" t="str">
        <f>SUBSTITUTE(SUBSTITUTE(orig_e_resources_table!O251,CHAR(13),""),CHAR(10),"")</f>
        <v>The Technical Report Archive &amp; Image Library (TRAIL) is an initiative led by the University of Arizona in collaboration with CRL and other interested agencies to identify, digitize, archive, and provide access to federal technical reports issued prior to 1975</v>
      </c>
      <c r="I243" t="str">
        <f t="shared" si="3"/>
        <v>xxx</v>
      </c>
      <c r="J243" t="s">
        <v>1200</v>
      </c>
    </row>
    <row r="244" spans="1:10" x14ac:dyDescent="0.25">
      <c r="A244">
        <v>197</v>
      </c>
      <c r="B244" t="str">
        <f>orig_e_resources_table!B198</f>
        <v>TRIS - NTL Integrated Search</v>
      </c>
      <c r="C244" t="str">
        <f>IF(orig_e_resources_table!C198="","",orig_e_resources_table!C198)</f>
        <v>Transportation Research Information Services</v>
      </c>
      <c r="D244" t="str">
        <f>orig_e_resources_table!D198</f>
        <v>http://ntlsearch.bts.gov/tris/index.do</v>
      </c>
      <c r="E244" t="str">
        <f>LOWER(IF(orig_e_resources_table!F198=1,TRUE,FALSE))</f>
        <v>true</v>
      </c>
      <c r="F244" t="str">
        <f>LOWER(IF(orig_e_resources_table!I198=1,TRUE,FALSE))</f>
        <v>false</v>
      </c>
      <c r="G244" t="str">
        <f>SUBSTITUTE(SUBSTITUTE(orig_e_resources_table!O198,CHAR(13),""),CHAR(10),"")</f>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c r="I244" t="str">
        <f t="shared" si="3"/>
        <v>xxx</v>
      </c>
      <c r="J244" t="s">
        <v>1200</v>
      </c>
    </row>
    <row r="245" spans="1:10" x14ac:dyDescent="0.25">
      <c r="A245">
        <v>198</v>
      </c>
      <c r="B245" t="str">
        <f>orig_e_resources_table!B199</f>
        <v xml:space="preserve">U.S. Supreme Court Records and Briefs, 1832-1978 </v>
      </c>
      <c r="C245" t="str">
        <f>IF(orig_e_resources_table!C199="","",orig_e_resources_table!C199)</f>
        <v/>
      </c>
      <c r="D245" t="str">
        <f>orig_e_resources_table!D199</f>
        <v>http://find.galegroup.com/menu/start?userGroupName=chic40381&amp;prod=SCRB</v>
      </c>
      <c r="E245" t="str">
        <f>LOWER(IF(orig_e_resources_table!F199=1,TRUE,FALSE))</f>
        <v>true</v>
      </c>
      <c r="F245" t="str">
        <f>LOWER(IF(orig_e_resources_table!I199=1,TRUE,FALSE))</f>
        <v>true</v>
      </c>
      <c r="G245" t="str">
        <f>SUBSTITUTE(SUBSTITUTE(orig_e_resources_table!O199,CHAR(13),""),CHAR(10),"")</f>
        <v>Containing nearly 11 million pages of records and briefs brought before the U.S. Supreme Court in the period 1832-1978, this product provides an essential primary source tool for the study of all aspects of American history as well as the U.S. judicial system.</v>
      </c>
      <c r="I245" t="str">
        <f t="shared" si="3"/>
        <v>xxx</v>
      </c>
    </row>
    <row r="246" spans="1:10" x14ac:dyDescent="0.25">
      <c r="A246">
        <v>199</v>
      </c>
      <c r="B246" t="str">
        <f>orig_e_resources_table!B200</f>
        <v>University of Virginia Electronic Text Center Collections</v>
      </c>
      <c r="C246" t="str">
        <f>IF(orig_e_resources_table!C200="","",orig_e_resources_table!C200)</f>
        <v/>
      </c>
      <c r="D246" t="str">
        <f>orig_e_resources_table!D200</f>
        <v>http://etext.lib.virginia.edu/collections/search/</v>
      </c>
      <c r="E246" t="str">
        <f>LOWER(IF(orig_e_resources_table!F200=1,TRUE,FALSE))</f>
        <v>true</v>
      </c>
      <c r="F246" t="str">
        <f>LOWER(IF(orig_e_resources_table!I200=1,TRUE,FALSE))</f>
        <v>false</v>
      </c>
      <c r="G246" t="str">
        <f>SUBSTITUTE(SUBSTITUTE(orig_e_resources_table!O200,CHAR(13),""),CHAR(10),"")</f>
        <v>The Electronic Text Center's holdings include approximately 10,000 publicly accessible e-books in twelve languages, with more than 164,000 related images (book illustrations, covers, manuscripts, newspaper pages, page images of Special Collections books, museum objects, etc).</v>
      </c>
      <c r="I246" t="str">
        <f t="shared" si="3"/>
        <v>xxx</v>
      </c>
      <c r="J246" t="s">
        <v>1200</v>
      </c>
    </row>
    <row r="247" spans="1:10" x14ac:dyDescent="0.25">
      <c r="A247">
        <v>200</v>
      </c>
      <c r="B247" t="str">
        <f>orig_e_resources_table!B201</f>
        <v>USA Trade Online</v>
      </c>
      <c r="C247" t="str">
        <f>IF(orig_e_resources_table!C201="","",orig_e_resources_table!C201)</f>
        <v/>
      </c>
      <c r="D247" t="str">
        <f>orig_e_resources_table!D201</f>
        <v>http://www.usatradeonline.gov/</v>
      </c>
      <c r="E247" t="str">
        <f>LOWER(IF(orig_e_resources_table!F201=1,TRUE,FALSE))</f>
        <v>true</v>
      </c>
      <c r="F247" t="str">
        <f>LOWER(IF(orig_e_resources_table!I201=1,TRUE,FALSE))</f>
        <v>false</v>
      </c>
      <c r="G247" t="str">
        <f>SUBSTITUTE(SUBSTITUTE(orig_e_resources_table!O201,CHAR(13),""),CHAR(10),"")</f>
        <v>The Foreign Trade Division of the U.S. Census Bureau and STAT-USA compile accurate and timely U.S. Merchandise Trade data, providing export and import information on more than 18,000 commodities worldwide.</v>
      </c>
      <c r="I247" t="str">
        <f t="shared" si="3"/>
        <v>xxx</v>
      </c>
      <c r="J247" t="s">
        <v>1200</v>
      </c>
    </row>
    <row r="248" spans="1:10" x14ac:dyDescent="0.25">
      <c r="A248">
        <v>201</v>
      </c>
      <c r="B248" t="str">
        <f>orig_e_resources_table!B202</f>
        <v>USPTO</v>
      </c>
      <c r="C248" t="str">
        <f>IF(orig_e_resources_table!C202="","",orig_e_resources_table!C202)</f>
        <v>U.S. Patent and Trademark Office</v>
      </c>
      <c r="D248" t="str">
        <f>orig_e_resources_table!D202</f>
        <v>http://www.uspto.gov/</v>
      </c>
      <c r="E248" t="str">
        <f>LOWER(IF(orig_e_resources_table!F202=1,TRUE,FALSE))</f>
        <v>true</v>
      </c>
      <c r="F248" t="str">
        <f>LOWER(IF(orig_e_resources_table!I202=1,TRUE,FALSE))</f>
        <v>false</v>
      </c>
      <c r="G248" t="str">
        <f>SUBSTITUTE(SUBSTITUTE(orig_e_resources_table!O202,CHAR(13),""),CHAR(10),"")</f>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v>
      </c>
      <c r="I248" t="str">
        <f t="shared" si="3"/>
        <v>xxx</v>
      </c>
      <c r="J248" t="s">
        <v>1216</v>
      </c>
    </row>
    <row r="249" spans="1:10" x14ac:dyDescent="0.25">
      <c r="A249">
        <v>202</v>
      </c>
      <c r="B249" t="str">
        <f>orig_e_resources_table!B203</f>
        <v>Virology and AIDS Abstracts</v>
      </c>
      <c r="C249" t="str">
        <f>IF(orig_e_resources_table!C203="","",orig_e_resources_table!C203)</f>
        <v/>
      </c>
      <c r="D249" t="str">
        <f>orig_e_resources_table!D203</f>
        <v>http://www.csa.com/htbin/dbrng.cgi?username=paulg&amp;access=paulg20&amp;db=virology-set-c</v>
      </c>
      <c r="E249" t="str">
        <f>LOWER(IF(orig_e_resources_table!F203=1,TRUE,FALSE))</f>
        <v>false</v>
      </c>
      <c r="F249" t="str">
        <f>LOWER(IF(orig_e_resources_table!I203=1,TRUE,FALSE))</f>
        <v>true</v>
      </c>
      <c r="G249" t="str">
        <f>SUBSTITUTE(SUBSTITUTE(orig_e_resources_table!O203,CHAR(13),""),CHAR(10),"")</f>
        <v>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v>
      </c>
      <c r="I249" t="str">
        <f t="shared" si="3"/>
        <v/>
      </c>
      <c r="J249" t="s">
        <v>1200</v>
      </c>
    </row>
    <row r="250" spans="1:10" x14ac:dyDescent="0.25">
      <c r="A250">
        <v>203</v>
      </c>
      <c r="B250" t="str">
        <f>orig_e_resources_table!B204</f>
        <v>Voices of the Holocaust</v>
      </c>
      <c r="C250" t="str">
        <f>IF(orig_e_resources_table!C204="","",orig_e_resources_table!C204)</f>
        <v/>
      </c>
      <c r="D250" t="str">
        <f>orig_e_resources_table!D204</f>
        <v>http://voices.iit.edu/</v>
      </c>
      <c r="E250" t="str">
        <f>LOWER(IF(orig_e_resources_table!F204=1,TRUE,FALSE))</f>
        <v>true</v>
      </c>
      <c r="F250" t="str">
        <f>LOWER(IF(orig_e_resources_table!I204=1,TRUE,FALSE))</f>
        <v>false</v>
      </c>
      <c r="G250" t="str">
        <f>SUBSTITUTE(SUBSTITUTE(orig_e_resources_table!O204,CHAR(13),""),CHAR(10),"")</f>
        <v>Digital collection offering access to text and audio of first-hand interviews conducted in 1946 with victims of the Nazi holocaust by former IIT professor David P. Boder.</v>
      </c>
      <c r="I250" t="str">
        <f t="shared" si="3"/>
        <v>xxx</v>
      </c>
      <c r="J250" t="s">
        <v>1224</v>
      </c>
    </row>
    <row r="251" spans="1:10" x14ac:dyDescent="0.25">
      <c r="A251">
        <v>204</v>
      </c>
      <c r="B251" t="str">
        <f>orig_e_resources_table!B205</f>
        <v>Wall Street Journal</v>
      </c>
      <c r="C251" t="str">
        <f>IF(orig_e_resources_table!C205="","",orig_e_resources_table!C205)</f>
        <v/>
      </c>
      <c r="D251" t="str">
        <f>orig_e_resources_table!D205</f>
        <v>http://online.wsj.com/</v>
      </c>
      <c r="E251" t="str">
        <f>LOWER(IF(orig_e_resources_table!F205=1,TRUE,FALSE))</f>
        <v>true</v>
      </c>
      <c r="F251" t="str">
        <f>LOWER(IF(orig_e_resources_table!I205=1,TRUE,FALSE))</f>
        <v>false</v>
      </c>
      <c r="G251" t="str">
        <f>SUBSTITUTE(SUBSTITUTE(orig_e_resources_table!O205,CHAR(13),""),CHAR(10),"")</f>
        <v xml:space="preserve">Access all WSJ content online from the Dow Jones website in the original online layout.Online coverage of the popular business newspaper, including analysis tools and news from the past four years. </v>
      </c>
      <c r="I251" t="str">
        <f t="shared" si="3"/>
        <v>xxx</v>
      </c>
      <c r="J251" t="s">
        <v>1203</v>
      </c>
    </row>
    <row r="252" spans="1:10" x14ac:dyDescent="0.25">
      <c r="A252">
        <v>205</v>
      </c>
      <c r="B252" t="str">
        <f>orig_e_resources_table!B206</f>
        <v>Water Resources Abstracts</v>
      </c>
      <c r="C252" t="str">
        <f>IF(orig_e_resources_table!C206="","",orig_e_resources_table!C206)</f>
        <v/>
      </c>
      <c r="D252" t="str">
        <f>orig_e_resources_table!D206</f>
        <v>http://www.csa.com/htbin/dbrng.cgi?username=paulg&amp;access=paulg20&amp;db=water-resources-set-c</v>
      </c>
      <c r="E252" t="str">
        <f>LOWER(IF(orig_e_resources_table!F206=1,TRUE,FALSE))</f>
        <v>false</v>
      </c>
      <c r="F252" t="str">
        <f>LOWER(IF(orig_e_resources_table!I206=1,TRUE,FALSE))</f>
        <v>true</v>
      </c>
      <c r="G252" t="str">
        <f>SUBSTITUTE(SUBSTITUTE(orig_e_resources_table!O206,CHAR(13),""),CHAR(10),"")</f>
        <v>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v>
      </c>
      <c r="I252" t="str">
        <f t="shared" si="3"/>
        <v/>
      </c>
      <c r="J252" t="s">
        <v>1200</v>
      </c>
    </row>
    <row r="253" spans="1:10" x14ac:dyDescent="0.25">
      <c r="A253">
        <v>206</v>
      </c>
      <c r="B253" t="str">
        <f>orig_e_resources_table!B207</f>
        <v>Web of Science</v>
      </c>
      <c r="C253" t="str">
        <f>IF(orig_e_resources_table!C207="","",orig_e_resources_table!C207)</f>
        <v/>
      </c>
      <c r="D253" t="str">
        <f>orig_e_resources_table!D207</f>
        <v>http://apps.webofknowledge.com/WOS_GeneralSearch_input.do?product=WOS&amp;search_mode=GeneralSearch</v>
      </c>
      <c r="E253" t="str">
        <f>LOWER(IF(orig_e_resources_table!F207=1,TRUE,FALSE))</f>
        <v>true</v>
      </c>
      <c r="F253" t="str">
        <f>LOWER(IF(orig_e_resources_table!I207=1,TRUE,FALSE))</f>
        <v>true</v>
      </c>
      <c r="G253" t="str">
        <f>SUBSTITUTE(SUBSTITUTE(orig_e_resources_table!O207,CHAR(13),""),CHAR(10),"")</f>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c r="I253" t="str">
        <f t="shared" si="3"/>
        <v>xxx</v>
      </c>
      <c r="J253" t="s">
        <v>1200</v>
      </c>
    </row>
    <row r="254" spans="1:10" x14ac:dyDescent="0.25">
      <c r="A254">
        <v>207</v>
      </c>
      <c r="B254" t="str">
        <f>orig_e_resources_table!B208</f>
        <v>WELDASEARCH</v>
      </c>
      <c r="C254" t="str">
        <f>IF(orig_e_resources_table!C208="","",orig_e_resources_table!C208)</f>
        <v/>
      </c>
      <c r="D254" t="str">
        <f>orig_e_resources_table!D208</f>
        <v>http://www.csa.com/htbin/dbrng.cgi?username=paulg&amp;access=paulg20&amp;db=weldasearch-set-c</v>
      </c>
      <c r="E254" t="str">
        <f>LOWER(IF(orig_e_resources_table!F208=1,TRUE,FALSE))</f>
        <v>false</v>
      </c>
      <c r="F254" t="str">
        <f>LOWER(IF(orig_e_resources_table!I208=1,TRUE,FALSE))</f>
        <v>true</v>
      </c>
      <c r="G254" t="str">
        <f>SUBSTITUTE(SUBSTITUTE(orig_e_resources_table!O208,CHAR(13),""),CHAR(10),"")</f>
        <v>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v>
      </c>
      <c r="I254" t="str">
        <f t="shared" si="3"/>
        <v/>
      </c>
      <c r="J254" t="s">
        <v>1200</v>
      </c>
    </row>
    <row r="255" spans="1:10" x14ac:dyDescent="0.25">
      <c r="A255">
        <v>208</v>
      </c>
      <c r="B255" t="str">
        <f>orig_e_resources_table!B209</f>
        <v>Wiley InterScience</v>
      </c>
      <c r="C255" t="str">
        <f>IF(orig_e_resources_table!C209="","",orig_e_resources_table!C209)</f>
        <v/>
      </c>
      <c r="D255" t="str">
        <f>orig_e_resources_table!D209</f>
        <v>http://www3.interscience.wiley.com/browse/?type=JOURNAL&amp;titles=1</v>
      </c>
      <c r="E255" t="str">
        <f>LOWER(IF(orig_e_resources_table!F209=1,TRUE,FALSE))</f>
        <v>true</v>
      </c>
      <c r="F255" t="str">
        <f>LOWER(IF(orig_e_resources_table!I209=1,TRUE,FALSE))</f>
        <v>true</v>
      </c>
      <c r="G255" t="str">
        <f>SUBSTITUTE(SUBSTITUTE(orig_e_resources_table!O209,CHAR(13),""),CHAR(10),"")</f>
        <v>Electronic access to over 300 leading scientific, technical, medical, and professional journals, plus major reference works, the acclaimed Current Protocols laboratory manuals, and the full text of select Wiley print books online.</v>
      </c>
      <c r="I255" t="str">
        <f t="shared" si="3"/>
        <v>xxx</v>
      </c>
      <c r="J255" t="s">
        <v>1200</v>
      </c>
    </row>
    <row r="256" spans="1:10" x14ac:dyDescent="0.25">
      <c r="A256">
        <v>209</v>
      </c>
      <c r="B256" t="str">
        <f>orig_e_resources_table!B210</f>
        <v>WilsonSelect</v>
      </c>
      <c r="C256" t="str">
        <f>IF(orig_e_resources_table!C210="","",orig_e_resources_table!C210)</f>
        <v/>
      </c>
      <c r="D256" t="str">
        <f>orig_e_resources_table!D210</f>
        <v>http://newfirstsearch.oclc.org/dbname=WilsonSelectPlus;FSIP</v>
      </c>
      <c r="E256" t="str">
        <f>LOWER(IF(orig_e_resources_table!F210=1,TRUE,FALSE))</f>
        <v>false</v>
      </c>
      <c r="F256" t="str">
        <f>LOWER(IF(orig_e_resources_table!I210=1,TRUE,FALSE))</f>
        <v>true</v>
      </c>
      <c r="G256" t="str">
        <f>SUBSTITUTE(SUBSTITUTE(orig_e_resources_table!O210,CHAR(13),""),CHAR(10),"")</f>
        <v>This database is comprised of records from the following H.W. Wilson databases: Readers' Guide Abstracts, Social Sciences Abstracts, Humanities Abstracts, General Science Abstracts and Wilson Business Abstracts.</v>
      </c>
      <c r="I256" t="str">
        <f t="shared" si="3"/>
        <v/>
      </c>
      <c r="J256" t="s">
        <v>1200</v>
      </c>
    </row>
    <row r="257" spans="1:10" x14ac:dyDescent="0.25">
      <c r="A257">
        <v>210</v>
      </c>
      <c r="B257" t="str">
        <f>orig_e_resources_table!B211</f>
        <v>World Almanac</v>
      </c>
      <c r="C257" t="str">
        <f>IF(orig_e_resources_table!C211="","",orig_e_resources_table!C211)</f>
        <v/>
      </c>
      <c r="D257" t="str">
        <f>orig_e_resources_table!D211</f>
        <v>http://newfirstsearch.oclc.org/dbname=WorldAlmanac;FSIP</v>
      </c>
      <c r="E257" t="str">
        <f>LOWER(IF(orig_e_resources_table!F211=1,TRUE,FALSE))</f>
        <v>true</v>
      </c>
      <c r="F257" t="str">
        <f>LOWER(IF(orig_e_resources_table!I211=1,TRUE,FALSE))</f>
        <v>true</v>
      </c>
      <c r="G257" t="str">
        <f>SUBSTITUTE(SUBSTITUTE(orig_e_resources_table!O211,CHAR(13),""),CHAR(10),"")</f>
        <v>Online reference source featuring content from Funk &amp;amp; Wagnalls New Encyclopedia and four almanacs.</v>
      </c>
      <c r="I257" t="str">
        <f t="shared" si="3"/>
        <v>xxx</v>
      </c>
      <c r="J257" t="s">
        <v>1200</v>
      </c>
    </row>
    <row r="258" spans="1:10" x14ac:dyDescent="0.25">
      <c r="A258">
        <v>211</v>
      </c>
      <c r="B258" t="str">
        <f>orig_e_resources_table!B212</f>
        <v>WorldCat</v>
      </c>
      <c r="C258" t="str">
        <f>IF(orig_e_resources_table!C212="","",orig_e_resources_table!C212)</f>
        <v/>
      </c>
      <c r="D258" t="str">
        <f>orig_e_resources_table!D212</f>
        <v>http://newfirstsearch.oclc.org/dbname=WorldCat;FSIP</v>
      </c>
      <c r="E258" t="str">
        <f>LOWER(IF(orig_e_resources_table!F212=1,TRUE,FALSE))</f>
        <v>true</v>
      </c>
      <c r="F258" t="str">
        <f>LOWER(IF(orig_e_resources_table!I212=1,TRUE,FALSE))</f>
        <v>true</v>
      </c>
      <c r="G258" t="str">
        <f>SUBSTITUTE(SUBSTITUTE(orig_e_resources_table!O212,CHAR(13),""),CHAR(10),"")</f>
        <v>WorldCat is an online catalog that contains the holdings of more than 8,000 libraries worldwide. You can place requests in WorldCat for materials not owned by IIT or I-Share Libraries.</v>
      </c>
      <c r="I258" t="str">
        <f t="shared" si="3"/>
        <v>xxx</v>
      </c>
      <c r="J258" t="s">
        <v>1204</v>
      </c>
    </row>
    <row r="259" spans="1:10" x14ac:dyDescent="0.25">
      <c r="A259">
        <v>244</v>
      </c>
      <c r="B259" t="str">
        <f>orig_e_resources_table!B245</f>
        <v>WorldCat Dissertations and Theses</v>
      </c>
      <c r="C259" t="str">
        <f>IF(orig_e_resources_table!C245="","",orig_e_resources_table!C245)</f>
        <v>NULL</v>
      </c>
      <c r="D259" t="str">
        <f>orig_e_resources_table!D245</f>
        <v>http://newfirstsearch.oclc.org/dbname=WorldCatDissertations;FSIP</v>
      </c>
      <c r="E259" t="str">
        <f>LOWER(IF(orig_e_resources_table!F245=1,TRUE,FALSE))</f>
        <v>true</v>
      </c>
      <c r="F259" t="str">
        <f>LOWER(IF(orig_e_resources_table!I245=1,TRUE,FALSE))</f>
        <v>true</v>
      </c>
      <c r="G259" t="str">
        <f>SUBSTITUTE(SUBSTITUTE(orig_e_resources_table!O245,CHAR(13),""),CHAR(10),"")</f>
        <v>Search for dissertations and theses held in over 8,000 libraries worldwide. Covers all disciplines and subject areas.</v>
      </c>
      <c r="I259" t="str">
        <f t="shared" si="3"/>
        <v>xxx</v>
      </c>
      <c r="J259" t="s">
        <v>1214</v>
      </c>
    </row>
    <row r="260" spans="1:10" x14ac:dyDescent="0.25">
      <c r="A260">
        <v>214</v>
      </c>
      <c r="B260" t="str">
        <f>orig_e_resources_table!B215</f>
        <v>World's Columbian Exposition of 1893</v>
      </c>
      <c r="C260" t="str">
        <f>IF(orig_e_resources_table!C215="","",orig_e_resources_table!C215)</f>
        <v>NULL</v>
      </c>
      <c r="D260" t="str">
        <f>orig_e_resources_table!D215</f>
        <v>http://columbus.gl.iit.edu/</v>
      </c>
      <c r="E260" t="str">
        <f>LOWER(IF(orig_e_resources_table!F215=1,TRUE,FALSE))</f>
        <v>true</v>
      </c>
      <c r="F260" t="str">
        <f>LOWER(IF(orig_e_resources_table!I215=1,TRUE,FALSE))</f>
        <v>false</v>
      </c>
      <c r="G260" t="str">
        <f>SUBSTITUTE(SUBSTITUTE(orig_e_resources_table!O215,CHAR(13),""),CHAR(10),"")</f>
        <v>An online collection of over 12,000 illustrations and full-text images from four rare nineteenth-century volumes about the Chicago World's Fair.</v>
      </c>
      <c r="I260" t="str">
        <f t="shared" si="3"/>
        <v>xxx</v>
      </c>
      <c r="J260" t="s">
        <v>1224</v>
      </c>
    </row>
  </sheetData>
  <sortState ref="A2:J261">
    <sortCondition ref="B2:B26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orig_e_resources_table</vt:lpstr>
      <vt:lpstr>select and format columns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McClure</dc:creator>
  <cp:lastModifiedBy>Christine McClure</cp:lastModifiedBy>
  <dcterms:created xsi:type="dcterms:W3CDTF">2014-03-28T21:41:54Z</dcterms:created>
  <dcterms:modified xsi:type="dcterms:W3CDTF">2014-03-28T23:38:01Z</dcterms:modified>
</cp:coreProperties>
</file>