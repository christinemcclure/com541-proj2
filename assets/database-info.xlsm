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150" windowWidth="24915" windowHeight="12075" activeTab="1"/>
  </bookViews>
  <sheets>
    <sheet name="orig_e_resources_table" sheetId="1" r:id="rId1"/>
    <sheet name="select and format columns" sheetId="2" r:id="rId2"/>
  </sheets>
  <calcPr calcId="0"/>
</workbook>
</file>

<file path=xl/calcChain.xml><?xml version="1.0" encoding="utf-8"?>
<calcChain xmlns="http://schemas.openxmlformats.org/spreadsheetml/2006/main">
  <c r="I18" i="2" l="1"/>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3" i="2"/>
  <c r="I4" i="2"/>
  <c r="I5" i="2"/>
  <c r="I6" i="2"/>
  <c r="I7" i="2"/>
  <c r="I8" i="2"/>
  <c r="I9" i="2"/>
  <c r="I10" i="2"/>
  <c r="I11" i="2"/>
  <c r="I12" i="2"/>
  <c r="I13" i="2"/>
  <c r="I14" i="2"/>
  <c r="I15" i="2"/>
  <c r="I16" i="2"/>
  <c r="I17" i="2"/>
  <c r="I2"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3" i="2"/>
  <c r="F4" i="2"/>
  <c r="F5" i="2"/>
  <c r="F6" i="2"/>
  <c r="F7" i="2"/>
  <c r="F8" i="2"/>
  <c r="F9"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F2" i="2"/>
  <c r="E2" i="2"/>
  <c r="B3" i="2"/>
  <c r="C3" i="2"/>
  <c r="D3" i="2"/>
  <c r="B4" i="2"/>
  <c r="C4" i="2"/>
  <c r="D4" i="2"/>
  <c r="B5" i="2"/>
  <c r="C5" i="2"/>
  <c r="D5" i="2"/>
  <c r="B6" i="2"/>
  <c r="C6" i="2"/>
  <c r="D6" i="2"/>
  <c r="B7" i="2"/>
  <c r="C7" i="2"/>
  <c r="D7" i="2"/>
  <c r="B8" i="2"/>
  <c r="C8" i="2"/>
  <c r="D8" i="2"/>
  <c r="B9" i="2"/>
  <c r="C9" i="2"/>
  <c r="D9" i="2"/>
  <c r="B10" i="2"/>
  <c r="C10" i="2"/>
  <c r="D10" i="2"/>
  <c r="B11" i="2"/>
  <c r="C11" i="2"/>
  <c r="D11" i="2"/>
  <c r="B12" i="2"/>
  <c r="C12" i="2"/>
  <c r="D12" i="2"/>
  <c r="B13" i="2"/>
  <c r="C13" i="2"/>
  <c r="D13" i="2"/>
  <c r="B14" i="2"/>
  <c r="C14" i="2"/>
  <c r="D14" i="2"/>
  <c r="B15" i="2"/>
  <c r="C15" i="2"/>
  <c r="D15" i="2"/>
  <c r="B16" i="2"/>
  <c r="C16" i="2"/>
  <c r="D16" i="2"/>
  <c r="B17" i="2"/>
  <c r="C17" i="2"/>
  <c r="D17" i="2"/>
  <c r="B18" i="2"/>
  <c r="C18" i="2"/>
  <c r="D18" i="2"/>
  <c r="B19" i="2"/>
  <c r="C19" i="2"/>
  <c r="D19" i="2"/>
  <c r="B20" i="2"/>
  <c r="C20" i="2"/>
  <c r="D20" i="2"/>
  <c r="B21" i="2"/>
  <c r="C21" i="2"/>
  <c r="D21" i="2"/>
  <c r="B22" i="2"/>
  <c r="C22" i="2"/>
  <c r="D22" i="2"/>
  <c r="B23" i="2"/>
  <c r="C23" i="2"/>
  <c r="D23" i="2"/>
  <c r="B24" i="2"/>
  <c r="C24" i="2"/>
  <c r="D24" i="2"/>
  <c r="B25" i="2"/>
  <c r="C25" i="2"/>
  <c r="D25" i="2"/>
  <c r="B26" i="2"/>
  <c r="C26" i="2"/>
  <c r="D26" i="2"/>
  <c r="B27" i="2"/>
  <c r="C27" i="2"/>
  <c r="D27" i="2"/>
  <c r="B28" i="2"/>
  <c r="C28" i="2"/>
  <c r="D28" i="2"/>
  <c r="B29" i="2"/>
  <c r="C29" i="2"/>
  <c r="D29" i="2"/>
  <c r="B30" i="2"/>
  <c r="C30" i="2"/>
  <c r="D30" i="2"/>
  <c r="B31" i="2"/>
  <c r="C31" i="2"/>
  <c r="D31" i="2"/>
  <c r="B32" i="2"/>
  <c r="C32" i="2"/>
  <c r="D32" i="2"/>
  <c r="B33" i="2"/>
  <c r="C33" i="2"/>
  <c r="D33" i="2"/>
  <c r="B34" i="2"/>
  <c r="C34" i="2"/>
  <c r="D34" i="2"/>
  <c r="B35" i="2"/>
  <c r="C35" i="2"/>
  <c r="D35" i="2"/>
  <c r="B36" i="2"/>
  <c r="C36" i="2"/>
  <c r="D36" i="2"/>
  <c r="B37" i="2"/>
  <c r="C37" i="2"/>
  <c r="D37" i="2"/>
  <c r="B38" i="2"/>
  <c r="C38" i="2"/>
  <c r="D38" i="2"/>
  <c r="B39" i="2"/>
  <c r="C39" i="2"/>
  <c r="D39" i="2"/>
  <c r="B40" i="2"/>
  <c r="C40" i="2"/>
  <c r="D40" i="2"/>
  <c r="B41" i="2"/>
  <c r="C41" i="2"/>
  <c r="D41" i="2"/>
  <c r="B42" i="2"/>
  <c r="C42" i="2"/>
  <c r="D42" i="2"/>
  <c r="B43" i="2"/>
  <c r="C43" i="2"/>
  <c r="D43" i="2"/>
  <c r="B44" i="2"/>
  <c r="C44" i="2"/>
  <c r="D44" i="2"/>
  <c r="B45" i="2"/>
  <c r="C45" i="2"/>
  <c r="D45" i="2"/>
  <c r="B46" i="2"/>
  <c r="C46" i="2"/>
  <c r="D46" i="2"/>
  <c r="B47" i="2"/>
  <c r="C47" i="2"/>
  <c r="D47" i="2"/>
  <c r="B48" i="2"/>
  <c r="C48" i="2"/>
  <c r="D48" i="2"/>
  <c r="B49" i="2"/>
  <c r="C49" i="2"/>
  <c r="D49" i="2"/>
  <c r="B50" i="2"/>
  <c r="C50" i="2"/>
  <c r="D50" i="2"/>
  <c r="B51" i="2"/>
  <c r="C51" i="2"/>
  <c r="D51" i="2"/>
  <c r="B52" i="2"/>
  <c r="C52" i="2"/>
  <c r="D52" i="2"/>
  <c r="B53" i="2"/>
  <c r="C53" i="2"/>
  <c r="D53" i="2"/>
  <c r="B54" i="2"/>
  <c r="C54" i="2"/>
  <c r="D54" i="2"/>
  <c r="B55" i="2"/>
  <c r="C55" i="2"/>
  <c r="D55" i="2"/>
  <c r="B56" i="2"/>
  <c r="C56" i="2"/>
  <c r="D56" i="2"/>
  <c r="B57" i="2"/>
  <c r="C57" i="2"/>
  <c r="D57" i="2"/>
  <c r="B58" i="2"/>
  <c r="C58" i="2"/>
  <c r="D58" i="2"/>
  <c r="B59" i="2"/>
  <c r="C59" i="2"/>
  <c r="D59" i="2"/>
  <c r="B60" i="2"/>
  <c r="C60" i="2"/>
  <c r="D60" i="2"/>
  <c r="B61" i="2"/>
  <c r="C61" i="2"/>
  <c r="D61" i="2"/>
  <c r="B62" i="2"/>
  <c r="C62" i="2"/>
  <c r="D62" i="2"/>
  <c r="B63" i="2"/>
  <c r="C63" i="2"/>
  <c r="D63" i="2"/>
  <c r="B64" i="2"/>
  <c r="C64" i="2"/>
  <c r="D64" i="2"/>
  <c r="B65" i="2"/>
  <c r="C65" i="2"/>
  <c r="D65" i="2"/>
  <c r="B66" i="2"/>
  <c r="C66" i="2"/>
  <c r="D66" i="2"/>
  <c r="B67" i="2"/>
  <c r="C67" i="2"/>
  <c r="D67" i="2"/>
  <c r="B68" i="2"/>
  <c r="C68" i="2"/>
  <c r="D68" i="2"/>
  <c r="B69" i="2"/>
  <c r="C69" i="2"/>
  <c r="D69" i="2"/>
  <c r="B70" i="2"/>
  <c r="C70" i="2"/>
  <c r="D70" i="2"/>
  <c r="B71" i="2"/>
  <c r="C71" i="2"/>
  <c r="D71" i="2"/>
  <c r="B72" i="2"/>
  <c r="C72" i="2"/>
  <c r="D72" i="2"/>
  <c r="B73" i="2"/>
  <c r="C73" i="2"/>
  <c r="D73" i="2"/>
  <c r="B74" i="2"/>
  <c r="C74" i="2"/>
  <c r="D74" i="2"/>
  <c r="B75" i="2"/>
  <c r="C75" i="2"/>
  <c r="D75" i="2"/>
  <c r="B76" i="2"/>
  <c r="C76" i="2"/>
  <c r="D76" i="2"/>
  <c r="B77" i="2"/>
  <c r="C77" i="2"/>
  <c r="D77" i="2"/>
  <c r="B78" i="2"/>
  <c r="C78" i="2"/>
  <c r="D78" i="2"/>
  <c r="B79" i="2"/>
  <c r="C79" i="2"/>
  <c r="D79" i="2"/>
  <c r="B80" i="2"/>
  <c r="C80" i="2"/>
  <c r="D80" i="2"/>
  <c r="B81" i="2"/>
  <c r="C81" i="2"/>
  <c r="D81" i="2"/>
  <c r="B82" i="2"/>
  <c r="C82" i="2"/>
  <c r="D82" i="2"/>
  <c r="B83" i="2"/>
  <c r="C83" i="2"/>
  <c r="D83" i="2"/>
  <c r="B84" i="2"/>
  <c r="C84" i="2"/>
  <c r="D84" i="2"/>
  <c r="B85" i="2"/>
  <c r="C85" i="2"/>
  <c r="D85" i="2"/>
  <c r="B86" i="2"/>
  <c r="C86" i="2"/>
  <c r="D86" i="2"/>
  <c r="B87" i="2"/>
  <c r="C87" i="2"/>
  <c r="D87" i="2"/>
  <c r="B88" i="2"/>
  <c r="C88" i="2"/>
  <c r="D88" i="2"/>
  <c r="B89" i="2"/>
  <c r="C89" i="2"/>
  <c r="D89" i="2"/>
  <c r="B90" i="2"/>
  <c r="C90" i="2"/>
  <c r="D90" i="2"/>
  <c r="B91" i="2"/>
  <c r="C91" i="2"/>
  <c r="D91" i="2"/>
  <c r="B92" i="2"/>
  <c r="C92" i="2"/>
  <c r="D92" i="2"/>
  <c r="B93" i="2"/>
  <c r="C93" i="2"/>
  <c r="D93" i="2"/>
  <c r="B94" i="2"/>
  <c r="C94" i="2"/>
  <c r="D94" i="2"/>
  <c r="B95" i="2"/>
  <c r="C95" i="2"/>
  <c r="D95" i="2"/>
  <c r="B96" i="2"/>
  <c r="C96" i="2"/>
  <c r="D96" i="2"/>
  <c r="B97" i="2"/>
  <c r="C97" i="2"/>
  <c r="D97" i="2"/>
  <c r="B98" i="2"/>
  <c r="C98" i="2"/>
  <c r="D98" i="2"/>
  <c r="B99" i="2"/>
  <c r="C99" i="2"/>
  <c r="D99" i="2"/>
  <c r="B100" i="2"/>
  <c r="C100" i="2"/>
  <c r="D100" i="2"/>
  <c r="B101" i="2"/>
  <c r="C101" i="2"/>
  <c r="D101" i="2"/>
  <c r="B102" i="2"/>
  <c r="C102" i="2"/>
  <c r="D102" i="2"/>
  <c r="B103" i="2"/>
  <c r="C103" i="2"/>
  <c r="D103" i="2"/>
  <c r="B104" i="2"/>
  <c r="C104" i="2"/>
  <c r="D104" i="2"/>
  <c r="B105" i="2"/>
  <c r="C105" i="2"/>
  <c r="D105" i="2"/>
  <c r="B106" i="2"/>
  <c r="C106" i="2"/>
  <c r="D106" i="2"/>
  <c r="B107" i="2"/>
  <c r="C107" i="2"/>
  <c r="D107" i="2"/>
  <c r="B108" i="2"/>
  <c r="C108" i="2"/>
  <c r="D108" i="2"/>
  <c r="B109" i="2"/>
  <c r="C109" i="2"/>
  <c r="D109" i="2"/>
  <c r="B110" i="2"/>
  <c r="C110" i="2"/>
  <c r="D110" i="2"/>
  <c r="B111" i="2"/>
  <c r="C111" i="2"/>
  <c r="D111" i="2"/>
  <c r="B112" i="2"/>
  <c r="C112" i="2"/>
  <c r="D112" i="2"/>
  <c r="B113" i="2"/>
  <c r="C113" i="2"/>
  <c r="D113" i="2"/>
  <c r="B114" i="2"/>
  <c r="C114" i="2"/>
  <c r="D114" i="2"/>
  <c r="B115" i="2"/>
  <c r="C115" i="2"/>
  <c r="D115" i="2"/>
  <c r="B116" i="2"/>
  <c r="C116" i="2"/>
  <c r="D116" i="2"/>
  <c r="B117" i="2"/>
  <c r="C117" i="2"/>
  <c r="D117" i="2"/>
  <c r="B118" i="2"/>
  <c r="C118" i="2"/>
  <c r="D118" i="2"/>
  <c r="B119" i="2"/>
  <c r="C119" i="2"/>
  <c r="D119" i="2"/>
  <c r="B120" i="2"/>
  <c r="C120" i="2"/>
  <c r="D120" i="2"/>
  <c r="B121" i="2"/>
  <c r="C121" i="2"/>
  <c r="D121" i="2"/>
  <c r="B122" i="2"/>
  <c r="C122" i="2"/>
  <c r="D122" i="2"/>
  <c r="B123" i="2"/>
  <c r="C123" i="2"/>
  <c r="D123" i="2"/>
  <c r="B124" i="2"/>
  <c r="C124" i="2"/>
  <c r="D124" i="2"/>
  <c r="B125" i="2"/>
  <c r="C125" i="2"/>
  <c r="D125" i="2"/>
  <c r="B126" i="2"/>
  <c r="C126" i="2"/>
  <c r="D126" i="2"/>
  <c r="B127" i="2"/>
  <c r="C127" i="2"/>
  <c r="D127" i="2"/>
  <c r="B128" i="2"/>
  <c r="C128" i="2"/>
  <c r="D128" i="2"/>
  <c r="B129" i="2"/>
  <c r="C129" i="2"/>
  <c r="D129" i="2"/>
  <c r="B130" i="2"/>
  <c r="C130" i="2"/>
  <c r="D130" i="2"/>
  <c r="B131" i="2"/>
  <c r="C131" i="2"/>
  <c r="D131" i="2"/>
  <c r="B132" i="2"/>
  <c r="C132" i="2"/>
  <c r="D132" i="2"/>
  <c r="B133" i="2"/>
  <c r="C133" i="2"/>
  <c r="D133" i="2"/>
  <c r="B134" i="2"/>
  <c r="C134" i="2"/>
  <c r="D134" i="2"/>
  <c r="B135" i="2"/>
  <c r="C135" i="2"/>
  <c r="D135" i="2"/>
  <c r="B136" i="2"/>
  <c r="C136" i="2"/>
  <c r="D136" i="2"/>
  <c r="B137" i="2"/>
  <c r="C137" i="2"/>
  <c r="D137" i="2"/>
  <c r="B138" i="2"/>
  <c r="C138" i="2"/>
  <c r="D138" i="2"/>
  <c r="B139" i="2"/>
  <c r="C139" i="2"/>
  <c r="D139" i="2"/>
  <c r="B140" i="2"/>
  <c r="C140" i="2"/>
  <c r="D140" i="2"/>
  <c r="B141" i="2"/>
  <c r="C141" i="2"/>
  <c r="D141" i="2"/>
  <c r="B142" i="2"/>
  <c r="C142" i="2"/>
  <c r="D142" i="2"/>
  <c r="B143" i="2"/>
  <c r="C143" i="2"/>
  <c r="D143" i="2"/>
  <c r="B144" i="2"/>
  <c r="C144" i="2"/>
  <c r="D144" i="2"/>
  <c r="B145" i="2"/>
  <c r="C145" i="2"/>
  <c r="D145" i="2"/>
  <c r="B146" i="2"/>
  <c r="C146" i="2"/>
  <c r="D146" i="2"/>
  <c r="B147" i="2"/>
  <c r="C147" i="2"/>
  <c r="D147" i="2"/>
  <c r="B148" i="2"/>
  <c r="C148" i="2"/>
  <c r="D148" i="2"/>
  <c r="B149" i="2"/>
  <c r="C149" i="2"/>
  <c r="D149" i="2"/>
  <c r="B150" i="2"/>
  <c r="C150" i="2"/>
  <c r="D150" i="2"/>
  <c r="B151" i="2"/>
  <c r="C151" i="2"/>
  <c r="D151" i="2"/>
  <c r="B152" i="2"/>
  <c r="C152" i="2"/>
  <c r="D152" i="2"/>
  <c r="B153" i="2"/>
  <c r="C153" i="2"/>
  <c r="D153" i="2"/>
  <c r="B154" i="2"/>
  <c r="C154" i="2"/>
  <c r="D154" i="2"/>
  <c r="B155" i="2"/>
  <c r="C155" i="2"/>
  <c r="D155" i="2"/>
  <c r="B156" i="2"/>
  <c r="C156" i="2"/>
  <c r="D156" i="2"/>
  <c r="B157" i="2"/>
  <c r="C157" i="2"/>
  <c r="D157" i="2"/>
  <c r="B158" i="2"/>
  <c r="C158" i="2"/>
  <c r="D158" i="2"/>
  <c r="B159" i="2"/>
  <c r="C159" i="2"/>
  <c r="D159" i="2"/>
  <c r="B160" i="2"/>
  <c r="C160" i="2"/>
  <c r="D160" i="2"/>
  <c r="B161" i="2"/>
  <c r="C161" i="2"/>
  <c r="D161" i="2"/>
  <c r="B162" i="2"/>
  <c r="C162" i="2"/>
  <c r="D162" i="2"/>
  <c r="B163" i="2"/>
  <c r="C163" i="2"/>
  <c r="D163" i="2"/>
  <c r="B164" i="2"/>
  <c r="C164" i="2"/>
  <c r="D164" i="2"/>
  <c r="B165" i="2"/>
  <c r="C165" i="2"/>
  <c r="D165" i="2"/>
  <c r="B166" i="2"/>
  <c r="C166" i="2"/>
  <c r="D166" i="2"/>
  <c r="B167" i="2"/>
  <c r="C167" i="2"/>
  <c r="D167" i="2"/>
  <c r="B168" i="2"/>
  <c r="C168" i="2"/>
  <c r="D168" i="2"/>
  <c r="B169" i="2"/>
  <c r="C169" i="2"/>
  <c r="D169" i="2"/>
  <c r="B170" i="2"/>
  <c r="C170" i="2"/>
  <c r="D170" i="2"/>
  <c r="B171" i="2"/>
  <c r="C171" i="2"/>
  <c r="D171" i="2"/>
  <c r="B172" i="2"/>
  <c r="C172" i="2"/>
  <c r="D172" i="2"/>
  <c r="B173" i="2"/>
  <c r="C173" i="2"/>
  <c r="D173" i="2"/>
  <c r="B174" i="2"/>
  <c r="C174" i="2"/>
  <c r="D174" i="2"/>
  <c r="B175" i="2"/>
  <c r="C175" i="2"/>
  <c r="D175" i="2"/>
  <c r="B176" i="2"/>
  <c r="C176" i="2"/>
  <c r="D176" i="2"/>
  <c r="B177" i="2"/>
  <c r="C177" i="2"/>
  <c r="D177" i="2"/>
  <c r="B178" i="2"/>
  <c r="C178" i="2"/>
  <c r="D178" i="2"/>
  <c r="B179" i="2"/>
  <c r="C179" i="2"/>
  <c r="D179" i="2"/>
  <c r="B180" i="2"/>
  <c r="C180" i="2"/>
  <c r="D180" i="2"/>
  <c r="B181" i="2"/>
  <c r="C181" i="2"/>
  <c r="D181" i="2"/>
  <c r="B182" i="2"/>
  <c r="C182" i="2"/>
  <c r="D182" i="2"/>
  <c r="B183" i="2"/>
  <c r="C183" i="2"/>
  <c r="D183" i="2"/>
  <c r="B184" i="2"/>
  <c r="C184" i="2"/>
  <c r="D184" i="2"/>
  <c r="B185" i="2"/>
  <c r="C185" i="2"/>
  <c r="D185" i="2"/>
  <c r="B186" i="2"/>
  <c r="C186" i="2"/>
  <c r="D186" i="2"/>
  <c r="B187" i="2"/>
  <c r="C187" i="2"/>
  <c r="D187" i="2"/>
  <c r="B188" i="2"/>
  <c r="C188" i="2"/>
  <c r="D188" i="2"/>
  <c r="B189" i="2"/>
  <c r="C189" i="2"/>
  <c r="D189" i="2"/>
  <c r="B190" i="2"/>
  <c r="C190" i="2"/>
  <c r="D190" i="2"/>
  <c r="B191" i="2"/>
  <c r="C191" i="2"/>
  <c r="D191" i="2"/>
  <c r="B192" i="2"/>
  <c r="C192" i="2"/>
  <c r="D192" i="2"/>
  <c r="B193" i="2"/>
  <c r="C193" i="2"/>
  <c r="D193" i="2"/>
  <c r="B194" i="2"/>
  <c r="C194" i="2"/>
  <c r="D194" i="2"/>
  <c r="B195" i="2"/>
  <c r="C195" i="2"/>
  <c r="D195" i="2"/>
  <c r="B196" i="2"/>
  <c r="C196" i="2"/>
  <c r="D196" i="2"/>
  <c r="B197" i="2"/>
  <c r="C197" i="2"/>
  <c r="D197" i="2"/>
  <c r="B198" i="2"/>
  <c r="C198" i="2"/>
  <c r="D198" i="2"/>
  <c r="B199" i="2"/>
  <c r="C199" i="2"/>
  <c r="D199" i="2"/>
  <c r="B200" i="2"/>
  <c r="C200" i="2"/>
  <c r="D200" i="2"/>
  <c r="B201" i="2"/>
  <c r="C201" i="2"/>
  <c r="D201" i="2"/>
  <c r="B202" i="2"/>
  <c r="C202" i="2"/>
  <c r="D202" i="2"/>
  <c r="B203" i="2"/>
  <c r="C203" i="2"/>
  <c r="D203" i="2"/>
  <c r="B204" i="2"/>
  <c r="C204" i="2"/>
  <c r="D204" i="2"/>
  <c r="B205" i="2"/>
  <c r="C205" i="2"/>
  <c r="D205" i="2"/>
  <c r="B206" i="2"/>
  <c r="C206" i="2"/>
  <c r="D206" i="2"/>
  <c r="B207" i="2"/>
  <c r="C207" i="2"/>
  <c r="D207" i="2"/>
  <c r="B208" i="2"/>
  <c r="C208" i="2"/>
  <c r="D208" i="2"/>
  <c r="B209" i="2"/>
  <c r="C209" i="2"/>
  <c r="D209" i="2"/>
  <c r="B210" i="2"/>
  <c r="C210" i="2"/>
  <c r="D210" i="2"/>
  <c r="B211" i="2"/>
  <c r="C211" i="2"/>
  <c r="D211" i="2"/>
  <c r="B212" i="2"/>
  <c r="C212" i="2"/>
  <c r="D212" i="2"/>
  <c r="B213" i="2"/>
  <c r="C213" i="2"/>
  <c r="D213" i="2"/>
  <c r="B214" i="2"/>
  <c r="C214" i="2"/>
  <c r="D214" i="2"/>
  <c r="B215" i="2"/>
  <c r="C215" i="2"/>
  <c r="D215" i="2"/>
  <c r="B216" i="2"/>
  <c r="C216" i="2"/>
  <c r="D216" i="2"/>
  <c r="B217" i="2"/>
  <c r="C217" i="2"/>
  <c r="D217" i="2"/>
  <c r="B218" i="2"/>
  <c r="C218" i="2"/>
  <c r="D218" i="2"/>
  <c r="B219" i="2"/>
  <c r="C219" i="2"/>
  <c r="D219" i="2"/>
  <c r="B220" i="2"/>
  <c r="C220" i="2"/>
  <c r="D220" i="2"/>
  <c r="B221" i="2"/>
  <c r="C221" i="2"/>
  <c r="D221" i="2"/>
  <c r="B222" i="2"/>
  <c r="C222" i="2"/>
  <c r="D222" i="2"/>
  <c r="B223" i="2"/>
  <c r="C223" i="2"/>
  <c r="D223" i="2"/>
  <c r="B224" i="2"/>
  <c r="C224" i="2"/>
  <c r="D224" i="2"/>
  <c r="B225" i="2"/>
  <c r="C225" i="2"/>
  <c r="D225" i="2"/>
  <c r="B226" i="2"/>
  <c r="C226" i="2"/>
  <c r="D226" i="2"/>
  <c r="B227" i="2"/>
  <c r="C227" i="2"/>
  <c r="D227" i="2"/>
  <c r="B228" i="2"/>
  <c r="C228" i="2"/>
  <c r="D228" i="2"/>
  <c r="B229" i="2"/>
  <c r="C229" i="2"/>
  <c r="D229" i="2"/>
  <c r="B230" i="2"/>
  <c r="C230" i="2"/>
  <c r="D230" i="2"/>
  <c r="B231" i="2"/>
  <c r="C231" i="2"/>
  <c r="D231" i="2"/>
  <c r="B232" i="2"/>
  <c r="C232" i="2"/>
  <c r="D232" i="2"/>
  <c r="B233" i="2"/>
  <c r="C233" i="2"/>
  <c r="D233" i="2"/>
  <c r="B234" i="2"/>
  <c r="C234" i="2"/>
  <c r="D234" i="2"/>
  <c r="B235" i="2"/>
  <c r="C235" i="2"/>
  <c r="D235" i="2"/>
  <c r="B236" i="2"/>
  <c r="C236" i="2"/>
  <c r="D236" i="2"/>
  <c r="B237" i="2"/>
  <c r="C237" i="2"/>
  <c r="D237" i="2"/>
  <c r="B238" i="2"/>
  <c r="C238" i="2"/>
  <c r="D238" i="2"/>
  <c r="B239" i="2"/>
  <c r="C239" i="2"/>
  <c r="D239" i="2"/>
  <c r="B240" i="2"/>
  <c r="C240" i="2"/>
  <c r="D240" i="2"/>
  <c r="B241" i="2"/>
  <c r="C241" i="2"/>
  <c r="D241" i="2"/>
  <c r="B242" i="2"/>
  <c r="C242" i="2"/>
  <c r="D242" i="2"/>
  <c r="B243" i="2"/>
  <c r="C243" i="2"/>
  <c r="D243" i="2"/>
  <c r="B244" i="2"/>
  <c r="C244" i="2"/>
  <c r="D244" i="2"/>
  <c r="B245" i="2"/>
  <c r="C245" i="2"/>
  <c r="D245" i="2"/>
  <c r="B246" i="2"/>
  <c r="C246" i="2"/>
  <c r="D246" i="2"/>
  <c r="B247" i="2"/>
  <c r="C247" i="2"/>
  <c r="D247" i="2"/>
  <c r="B248" i="2"/>
  <c r="C248" i="2"/>
  <c r="D248" i="2"/>
  <c r="B249" i="2"/>
  <c r="C249" i="2"/>
  <c r="D249" i="2"/>
  <c r="B250" i="2"/>
  <c r="C250" i="2"/>
  <c r="D250" i="2"/>
  <c r="B251" i="2"/>
  <c r="C251" i="2"/>
  <c r="D251" i="2"/>
  <c r="B252" i="2"/>
  <c r="C252" i="2"/>
  <c r="D252" i="2"/>
  <c r="B253" i="2"/>
  <c r="C253" i="2"/>
  <c r="D253" i="2"/>
  <c r="B254" i="2"/>
  <c r="C254" i="2"/>
  <c r="D254" i="2"/>
  <c r="B255" i="2"/>
  <c r="C255" i="2"/>
  <c r="D255" i="2"/>
  <c r="B256" i="2"/>
  <c r="C256" i="2"/>
  <c r="D256" i="2"/>
  <c r="B257" i="2"/>
  <c r="C257" i="2"/>
  <c r="D257" i="2"/>
  <c r="B258" i="2"/>
  <c r="C258" i="2"/>
  <c r="D258" i="2"/>
  <c r="B259" i="2"/>
  <c r="C259" i="2"/>
  <c r="D259" i="2"/>
  <c r="B260" i="2"/>
  <c r="C260" i="2"/>
  <c r="D260" i="2"/>
  <c r="B261" i="2"/>
  <c r="C261" i="2"/>
  <c r="D261" i="2"/>
  <c r="D2" i="2"/>
  <c r="C2" i="2"/>
  <c r="B2" i="2"/>
</calcChain>
</file>

<file path=xl/sharedStrings.xml><?xml version="1.0" encoding="utf-8"?>
<sst xmlns="http://schemas.openxmlformats.org/spreadsheetml/2006/main" count="2374" uniqueCount="1199">
  <si>
    <t>db_id</t>
  </si>
  <si>
    <t>db_title</t>
  </si>
  <si>
    <t>db_alt_title</t>
  </si>
  <si>
    <t>db_url</t>
  </si>
  <si>
    <t>db_type</t>
  </si>
  <si>
    <t>db_display</t>
  </si>
  <si>
    <t>db_most_used</t>
  </si>
  <si>
    <t>db_provider</t>
  </si>
  <si>
    <t>db_iit_only</t>
  </si>
  <si>
    <t>db_access_note</t>
  </si>
  <si>
    <t>db_openurl</t>
  </si>
  <si>
    <t>db_indexes</t>
  </si>
  <si>
    <t>db_indexed_by</t>
  </si>
  <si>
    <t>db_desc_short</t>
  </si>
  <si>
    <t>db_desc</t>
  </si>
  <si>
    <t>db_tutorial_url</t>
  </si>
  <si>
    <t>db_update_freq</t>
  </si>
  <si>
    <t>AAPT</t>
  </si>
  <si>
    <t>American Association of Physics Teachers</t>
  </si>
  <si>
    <t>http://ojps.aip.org/vsearch/servlet/VerityServlet?KEY=ALL</t>
  </si>
  <si>
    <t>ejournal</t>
  </si>
  <si>
    <t>Scitation</t>
  </si>
  <si>
    <t>Access journals published by the AAPT in the field of physics.</t>
  </si>
  <si>
    <t>Access journals published by the American Association of Physics Teachers in the field of physics.</t>
  </si>
  <si>
    <t>NULL</t>
  </si>
  <si>
    <t>Academic Search Premier</t>
  </si>
  <si>
    <t>http://search.EBSCOhost.com/login.asp?profile=web&amp;defaultdb=aph</t>
  </si>
  <si>
    <t>ai</t>
  </si>
  <si>
    <t>EBSCOhost</t>
  </si>
  <si>
    <t>One of the largest full-text databases of scholarly information. A good place to start searching for journal articles on almost any topic.</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</si>
  <si>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</si>
  <si>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</si>
  <si>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</si>
  <si>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</si>
  <si>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ACM Portal</t>
  </si>
  <si>
    <t>Online repository of papers and publications from the ACM, covering all aspects of computing.</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</si>
  <si>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</si>
  <si>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</si>
  <si>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</si>
  <si>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reference</t>
  </si>
  <si>
    <t>Online dictionary of acronyms, abbreviations, and initialisms.</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</si>
  <si>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</si>
  <si>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</si>
  <si>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</si>
  <si>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</si>
  <si>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ACS Publications</t>
  </si>
  <si>
    <t>Journals published by the American Chemical Society.</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</si>
  <si>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</si>
  <si>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</si>
  <si>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</si>
  <si>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</si>
  <si>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United States Nuclear Regulatory Commission</t>
  </si>
  <si>
    <t>Reports and documents from the Nuclear Regulatory Commission (NRC).</t>
  </si>
  <si>
    <t>Reports and documents from the U.S. Nuclear Regulatory Commission (NRC). ADAMS documents are provided in either Adobe Portable Document Format (PDF) or Tagged Image File Format (TIFF).</t>
  </si>
  <si>
    <t>http://www.nrc.gov/reading-rm/adams/web-based-help.pdf</t>
  </si>
  <si>
    <t>Advanced Polymers Abstracts</t>
  </si>
  <si>
    <t>http://www.csa.com/htbin/dbrng.cgi?username=paulg&amp;access=paulg20&amp;db=ema-polymers-set-c</t>
  </si>
  <si>
    <t>CSA Illumina</t>
  </si>
  <si>
    <t>Engineered Materials Abstracts, CSA Materials Research Database with METADEX, CSA Technology Research Database</t>
  </si>
  <si>
    <t>Properties of thermoset and thermoplastic resins.</t>
  </si>
  <si>
    <t>Aerospace &amp;amp; High Technology Database</t>
  </si>
  <si>
    <t>http://www.csa.com/htbin/dbrng.cgi?username=paulg&amp;access=paulg20&amp;db=aerospace-set-c</t>
  </si>
  <si>
    <t>CSA High Technology Research Database with Aerospace, CSA Technology Research Database</t>
  </si>
  <si>
    <t>Covers applied research and technology development in aeronautics, astronautics, space sciences and related fields.</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</si>
  <si>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</si>
  <si>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</si>
  <si>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</si>
  <si>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</si>
  <si>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Provides many free publications of the AISC, including specifications, codes, siesmic resources, and revisions to AISC publications.</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</si>
  <si>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t>
  </si>
  <si>
    <t>Algology Mycology and Protozoology Abstracts (Microbiology C)</t>
  </si>
  <si>
    <t>http://www.csa.com/htbin/dbrng.cgi?username=paulg&amp;access=paulg20&amp;db=http://www.csa.com/htbin/dbrng.cgi?username=paulg&amp;access=paulg20&amp;db=microbiology-c-set-c</t>
  </si>
  <si>
    <t>CSA</t>
  </si>
  <si>
    <t>Covers research on reproduction, growth, life cycles, biochemistry, and genetics.</t>
  </si>
  <si>
    <t>Biological Sciences</t>
  </si>
  <si>
    <t>Research on algae, fungi, protozoa, and lichens.</t>
  </si>
  <si>
    <t>Aluminium Industry Abstracts</t>
  </si>
  <si>
    <t>http://www.csa.com/htbin/dbrng.cgi?username=paulg&amp;access=paulg20&amp;db=aia-set-c</t>
  </si>
  <si>
    <t>CSA Materials Research Database with METADEX, CSA Technology Research Database</t>
  </si>
  <si>
    <t>Covers technical literature on aluminum, production processes, products, applications, and business developments.</t>
  </si>
  <si>
    <t>American Institute of Physics</t>
  </si>
  <si>
    <t>Journals published by the 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</si>
  <si>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</si>
  <si>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</si>
  <si>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</si>
  <si>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t>
  </si>
  <si>
    <t>Animal Behavior Abstracts</t>
  </si>
  <si>
    <t>http://www.csa.com/htbin/dbrng.cgi?username=paulg&amp;access=paulg20&amp;db=animal-behavior-set-c</t>
  </si>
  <si>
    <t>Database of published research on animal behavior, covering such topics as neurophysiology, behavioral ecology, genetics, and applied ethology.</t>
  </si>
  <si>
    <t>ANTE</t>
  </si>
  <si>
    <t>Abstracts in New Technologies and Engineering</t>
  </si>
  <si>
    <t>http://www.csa.com/htbin/dbrng.cgi?username=paulg&amp;access=paulg20&amp;db=ante-set-c</t>
  </si>
  <si>
    <t>CSA Engineering Research Database, CSA Technology Research Database</t>
  </si>
  <si>
    <t>Covers developments in information technology and computing, electronics, biotechnology, medical technology, and engineering.</t>
  </si>
  <si>
    <t>Article First</t>
  </si>
  <si>
    <t>http://newfirstsearch.oclc.org/dbname=ArticleFirst;FSIP</t>
  </si>
  <si>
    <t>OCLC FirstSearch</t>
  </si>
  <si>
    <t>Interdisciplinary database covering journal literature in all subject areas.</t>
  </si>
  <si>
    <t>Coverage of over 16,000 journal titles related to business, science, humanities, social sciences, medicine, technology, and popular culture.</t>
  </si>
  <si>
    <t>arXiv.org</t>
  </si>
  <si>
    <t>http://arxiv.org/</t>
  </si>
  <si>
    <t>Cornell University Library</t>
  </si>
  <si>
    <t>E-prints in mathematics, statistics, physics, quantitative biology, statistics, and computer science.</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</si>
  <si>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</si>
  <si>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</si>
  <si>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</si>
  <si>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</si>
  <si>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Journals and articles published by the ASCE.</t>
  </si>
  <si>
    <t>Search for journal articles published by the ASCE from 1990 through the present.</t>
  </si>
  <si>
    <t>ASFA 1: Biological Sciences and Living Resources</t>
  </si>
  <si>
    <t>http://www.csa.com/htbin/dbrng.cgi?username=paulg&amp;access=paulg20&amp;db=asfa1-set-c</t>
  </si>
  <si>
    <t>Coverage of basic and applied research on aquatic organisms, aquaculture, and fisheries.</t>
  </si>
  <si>
    <t>ASFA 3: Aquatic Pollution and Environmental Quality</t>
  </si>
  <si>
    <t>http://www.csa.com/htbin/dbrng.cgi?username=paulg&amp;access=paulg20&amp;db=asfa3-set-c</t>
  </si>
  <si>
    <t>Environmental Sciences and Pollution Mgmt</t>
  </si>
  <si>
    <t>Research and policy on the contamination of oceans, seas, lakes, rivers, and estuaries.</t>
  </si>
  <si>
    <t>ASFA Aquaculture Abstracts</t>
  </si>
  <si>
    <t>http://www.csa.com/htbin/dbrng.cgi?username=paulg&amp;access=paulg20&amp;db=aquaculture-set-c</t>
  </si>
  <si>
    <t>Database of research on marine and freshwater aquaculture.</t>
  </si>
  <si>
    <t>ASFA Marine Biotechnology Abstracts</t>
  </si>
  <si>
    <t>http://www.csa.com/htbin/dbrng.cgi?username=paulg&amp;access=paulg20&amp;db=marine-set-c</t>
  </si>
  <si>
    <t>Database of research on marine biotechnology, molecular biology, and molecular genetics as applied to marine and aquatic organisms.</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</si>
  <si>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</si>
  <si>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</si>
  <si>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</si>
  <si>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ASM International</t>
  </si>
  <si>
    <t>Online edition of the ASM Handbook, 10th edition (aka Metals Handbook).</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</si>
  <si>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</si>
  <si>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</si>
  <si>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</si>
  <si>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Property data, performance charts, diagrams, and processing guidelines for specific metals and alloys.</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</si>
  <si>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</si>
  <si>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</si>
  <si>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</si>
  <si>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</si>
  <si>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ASME.</t>
  </si>
  <si>
    <t>Journals published by the American Society of Mechanical Engineers.</t>
  </si>
  <si>
    <t>Avery Index to Architectural Periodicals</t>
  </si>
  <si>
    <t>http://search.proquest.com.ezproxy.gl.iit.edu/avery/advanced</t>
  </si>
  <si>
    <t>ProQuest</t>
  </si>
  <si>
    <t>Comprehensive database of literature on architecture and design.</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</si>
  <si>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</si>
  <si>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</si>
  <si>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</si>
  <si>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Biological Sciences, Environmental Sciences and Pollution Mgmt</t>
  </si>
  <si>
    <t>Covers bacterial immunology, vaccinations, and aspects of pure bacteriology, biochemistry, and genetics.</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</si>
  <si>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</si>
  <si>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</si>
  <si>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</si>
  <si>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Simmons</t>
  </si>
  <si>
    <t>This resource is only available on laptops available for checkout at the Circulation Desk on the Lower Level of the Galvin Library.</t>
  </si>
  <si>
    <t>Consumer research tool with detailed demographic and psychographic information.</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</si>
  <si>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</si>
  <si>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</si>
  <si>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</si>
  <si>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Bibliographic references covering life science and biomedical research literature.</t>
  </si>
  <si>
    <t>http://www.csa.com/htbin/dbrng.cgi?username=paulg&amp;access=paulg20&amp;db=biolclust-set-c</t>
  </si>
  <si>
    <t>Algology Mycology and Protozoology Abstracts (Microbiology C), Animal Behavior Abstracts, ASFA 1: Biological Sciences and Living Resources, ASFA Aquaculture Abstracts, ASFA Marine Biotechnology Abstracts, Bacteriology Abstracts (Microbiology B), Biotechnology Research Abstracts, Calcium and Calcified Tissue Abstracts, Ecology Abstracts, Endocrinology Abstracts, Entomology Abstracts, Genetics Abstracts, Health and Safety Science Abstracts, Human Genome Abstracts, Immunology Abstracts, Industrial and Applied Microbiology Abstracts (Microbiology A), Nucleic Acids Abstracts, Oncogenes and Growth Factors Abstracts, Toxicology Abstracts, Virology and AIDS Abstracts</t>
  </si>
  <si>
    <t>Abstracts and citations to a wide range of research in biomedicine, biotechnology, zoology, ecology, agriculture, and veterinary science.</t>
  </si>
  <si>
    <t>Biology Digest</t>
  </si>
  <si>
    <t>http://www.csa.com/htbin/dbrng.cgi?username=paulg&amp;access=paulg20&amp;db=biodig-set-c</t>
  </si>
  <si>
    <t>Abstracts and indexes of domestic and international literature in the area of life sciences.</t>
  </si>
  <si>
    <t>Biotechnology Research Abstracts</t>
  </si>
  <si>
    <t>http://www.csa.com/htbin/dbrng.cgi?username=paulg&amp;access=paulg20&amp;db=biotechnology-archival-set-c</t>
  </si>
  <si>
    <t>Biological Sciences, Environmental and Pollution Mgmt</t>
  </si>
  <si>
    <t>Covers all aspects of biochemical, medical, and microbial technology as applied to bioengineering, medicine, agriculture and environmental science.</t>
  </si>
  <si>
    <t>Blackwell Synergy</t>
  </si>
  <si>
    <t>http://www.blackwell-synergy.com</t>
  </si>
  <si>
    <t>Journals published by Blackwell are now only accessible through Wiley InterScience.</t>
  </si>
  <si>
    <t>Journals published by Blackwell Synergy.</t>
  </si>
  <si>
    <t>Books 24x7</t>
  </si>
  <si>
    <t>http://library.books24x7.com/library.asp?^B</t>
  </si>
  <si>
    <t>ebook</t>
  </si>
  <si>
    <t>E-books covering computer science and information technology.</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</si>
  <si>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</si>
  <si>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</si>
  <si>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</si>
  <si>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Access market reports and analysis.</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</si>
  <si>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</si>
  <si>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</si>
  <si>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</si>
  <si>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This database covers all disciplines of business, including marketing, management, MIS, POM, accounting, finance and economics.</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</si>
  <si>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</si>
  <si>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</si>
  <si>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</si>
  <si>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Abstracts and citations on calcium research.</t>
  </si>
  <si>
    <t>Cambridge Journals Online</t>
  </si>
  <si>
    <t>http://journals.cambridge.org/action/advanceSearch</t>
  </si>
  <si>
    <t>Cambridge University Press</t>
  </si>
  <si>
    <t>Journals published by Cambridge University Press.</t>
  </si>
  <si>
    <t>CARLI Digital Collections</t>
  </si>
  <si>
    <t>http://collections.carli.illinois.edu/</t>
  </si>
  <si>
    <t>digital</t>
  </si>
  <si>
    <t>Consortium of Academic &amp; Research Libraries of Illinois</t>
  </si>
  <si>
    <t>Digital collections covering art, photography, and Illinois history.</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</si>
  <si>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</si>
  <si>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</si>
  <si>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</si>
  <si>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Coverage of journal literature on the manufacture, processing, applications, properties and testing of traditional and advanced ceramics.</t>
  </si>
  <si>
    <t>CERN Document Server</t>
  </si>
  <si>
    <t>http://cdsweb.cern.ch/</t>
  </si>
  <si>
    <t>CERN - European Organization for Nuclear Research</t>
  </si>
  <si>
    <t>Preprints, articles, books, journals, and photographs on particle physics and related subjects.</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</si>
  <si>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</si>
  <si>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</si>
  <si>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</si>
  <si>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Biology and sensory studies of taste, smell, and pheromones.</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</si>
  <si>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</si>
  <si>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</si>
  <si>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</si>
  <si>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Central Intelligence Agency</t>
  </si>
  <si>
    <t>Country information: maps, history, economics, society, etc.</t>
  </si>
  <si>
    <t>Online reference source containing basic country information, including maps, history, economics, and social studies.</t>
  </si>
  <si>
    <t>CiteSeer</t>
  </si>
  <si>
    <t>http://citeseer.ist.psu.edu</t>
  </si>
  <si>
    <t>PSU College of Information Sciences and Technology</t>
  </si>
  <si>
    <t>A digital library focusing on computer and information science.</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</si>
  <si>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</si>
  <si>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</si>
  <si>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</si>
  <si>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</si>
  <si>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</si>
  <si>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</si>
  <si>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</si>
  <si>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Publications on theory and research in international affairs.</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</si>
  <si>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</si>
  <si>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</si>
  <si>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</si>
  <si>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Index of research in areas related to communication and mass media.</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</si>
  <si>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</si>
  <si>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</si>
  <si>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</si>
  <si>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Engineering Information Inc.</t>
  </si>
  <si>
    <t>Comprehensive bibliographic database of worldwide engineering literature.</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</si>
  <si>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</si>
  <si>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</si>
  <si>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</si>
  <si>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Covers research on polymers and ceramics reinforced with fibers, honeycombs, whiskers and laminates.</t>
  </si>
  <si>
    <t>Computer and Information Systems Abstracts</t>
  </si>
  <si>
    <t>http://www.csa.com/htbin/dbrng.cgi?username=paulg&amp;access=paulg20&amp;db=computer-set-c</t>
  </si>
  <si>
    <t>Index of academic literature related to computer and information science from 1981-present.</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</si>
  <si>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</si>
  <si>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</si>
  <si>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</si>
  <si>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</si>
  <si>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Cornell University</t>
  </si>
  <si>
    <t>Online e-print repository of research papers and reports in computer science.</t>
  </si>
  <si>
    <t>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t>
  </si>
  <si>
    <t>Conference Papers Index</t>
  </si>
  <si>
    <t>http://www.csa.com/htbin/dbrng.cgi?username=paulg&amp;access=paulg20&amp;db=cpi-set-c</t>
  </si>
  <si>
    <t>Citations to papers and poster sessions presented at conferences related to life sciences, environmental sciences, and aquatic sciences.</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</si>
  <si>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</si>
  <si>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</si>
  <si>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</si>
  <si>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Paul V. Galvin Library</t>
  </si>
  <si>
    <t>Digital collection of U.S. Air Force technical reports and other documents related to the history of modern aviation.</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</si>
  <si>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</si>
  <si>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</si>
  <si>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</si>
  <si>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Database of scientific literature on copper, copper alloys and copper technology since 1965.</t>
  </si>
  <si>
    <t>Corrosion Abstracts</t>
  </si>
  <si>
    <t>http://www.csa.com/htbin/dbrng.cgi?username=paulg&amp;access=paulg20&amp;db=corrosion-set-c</t>
  </si>
  <si>
    <t>Abstracts of academic literature on corrosion science and egineering.</t>
  </si>
  <si>
    <t>Country Studies</t>
  </si>
  <si>
    <t>http://memory.loc.gov/frd/cs/cshome.html</t>
  </si>
  <si>
    <t>Library of Congress</t>
  </si>
  <si>
    <t>Description and analysis of the social, economic, and political systems and institutions of the world's countries.</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</si>
  <si>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</si>
  <si>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</si>
  <si>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</si>
  <si>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</si>
  <si>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</si>
  <si>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</si>
  <si>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</si>
  <si>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Provides citations, abstracts, and indexing of the serials literature in civil engineering and related fields.</t>
  </si>
  <si>
    <t>CSA Engineering Research Database</t>
  </si>
  <si>
    <t>http://www.csa.com/htbin/dbrng.cgi?username=paulg&amp;access=paulg20&amp;db=engineering-set-c</t>
  </si>
  <si>
    <t>ANTE: Abstracts in New Technologies and Engineering, CSA / ASCE Civil Engineering Abstracts, Earthquake Engineering Abstracts, Environmental Engineering Abstracts, Mechanical &amp; Transportation Engineering Abstracts</t>
  </si>
  <si>
    <t>CSA Technology Research Database</t>
  </si>
  <si>
    <t>This database covers the international literature on civil, earthquake, environmental, mechanical, and transportation engineering.</t>
  </si>
  <si>
    <t>CSA High Technology Research Database with Aerospace</t>
  </si>
  <si>
    <t>http://www.csa.com/htbin/dbrng.cgi?username=paulg&amp;access=paulg20&amp;db=hightech-set-c</t>
  </si>
  <si>
    <t>Aerospace &amp; High Technology Database, Computer and Information Systems Abstracts, Electronics and Communications Abstracts, Solid State and Superconductivity Abstracts</t>
  </si>
  <si>
    <t>Comprehensive coverage of research, technologies, and applications in the fields of aeronautics, astronautics, information technology, electronics, communications, solid state materials/devices, and space sciences.</t>
  </si>
  <si>
    <t>CSA Materials Research Database with METADEX</t>
  </si>
  <si>
    <t>http://www.csa.com/htbin/dbrng.cgi?username=paulg&amp;access=paulg20&amp;db=materials-set-c</t>
  </si>
  <si>
    <t>Advanced Polymers Abstracts, Aluminium Industry Abstracts, Ceramic Abstracts/World Ceramics Abstracts, Composites Industry Abstracts, Copper Data Center Database, Corrosion Abstracts, Engineered Materials Abstracts, Engineered Materials Abstracts, Ceramics, Materials Business File, METADEX, WELDASEARCH</t>
  </si>
  <si>
    <t>Offers simultaneous searching of many leading materials science databases, with specialist content on materials science, metallurgy, ceramics, polymers, and composites used in engineering.</t>
  </si>
  <si>
    <t>CSA Neurosciences Abstracts</t>
  </si>
  <si>
    <t>http://www.csa.com/htbin/dbrng.cgi?username=paulg&amp;access=paulg20&amp;db=neurosciences-set-c</t>
  </si>
  <si>
    <t>Covers all aspects of vertebrate and invertebrate neuroscience.</t>
  </si>
  <si>
    <t>This database covers all aspects of vertebrate and invertebrate neuroscience.</t>
  </si>
  <si>
    <t>http://www.csa.com/htbin/dbrng.cgi?username=paulg&amp;amp;access=paulg20&amp;amp;db=techresearch-set-c</t>
  </si>
  <si>
    <t>Advanced Polymers Abstracts, Aerospace &amp; High Technology Database, Aluminium Industry Abstracts, ANTE: Abstracts in New Technologies and Engineering, Ceramic Abstracts/World Ceramics Abstracts, Composites Industry Abstracts, Computer and Information Systems Abstracts, Copper Data Center Database, Corrosion Abstracts, CSA Engineering Research Database, CSA High Technology Research Database with Aerospace, CSA Materials Research Database with METADEX, CSA / ASCE Civil Engineering Abstracts, Earthquake Engineering Abstracts, Electronics and Communications Abstracts, Engineered Materials Abstracts, Engineered Materials Abstracts, Ceramics, Environmental Engineering Abstracts, Materials Business File, Mechanical &amp; Transportation Engineering Abstracts, METADEX, Solid State and Superconductivity Abstracts, WELDASEARCH</t>
  </si>
  <si>
    <t>Comprehensive &amp;#252;ber-database covering all aspects of technology, engineering, materials science, and electronics.</t>
  </si>
  <si>
    <t>CumInCAD</t>
  </si>
  <si>
    <t>http://cumincad.scix.net</t>
  </si>
  <si>
    <t>SciX Open Publishing Services</t>
  </si>
  <si>
    <t>You must create a personal account to access full text</t>
  </si>
  <si>
    <t>Index of publications on computer-aided architectural design.</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</si>
  <si>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</si>
  <si>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</si>
  <si>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</si>
  <si>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</si>
  <si>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</si>
  <si>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Available only at the Galvin Library.  Please see a librarian at the Reference Desk for username and password.</t>
  </si>
  <si>
    <t>Provides access to government-produced technical information.</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</si>
  <si>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</si>
  <si>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</si>
  <si>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</si>
  <si>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Proquest</t>
  </si>
  <si>
    <t>Online database of doctoral dissertations.</t>
  </si>
  <si>
    <t>Online database of doctoral dissertations and master's theses. Full-text is available for many items, and ordering/purchasing information is included for those items with no full-text.</t>
  </si>
  <si>
    <t>Dissertations and Theses at IIT</t>
  </si>
  <si>
    <t>http://search.proquest.com/pqdtlocal</t>
  </si>
  <si>
    <t>Online database of IIT students' doctoral dissertations.</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</si>
  <si>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</si>
  <si>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</si>
  <si>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</si>
  <si>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the Brandow Company, Inc.</t>
  </si>
  <si>
    <t>BizMiner produces granular industry statistical reports for over 5,000 lines of business and industry market trends.</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</si>
  <si>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</si>
  <si>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</si>
  <si>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</si>
  <si>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Indexes journal literature related to earthquake engineering.</t>
  </si>
  <si>
    <t>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t>
  </si>
  <si>
    <t>ECO</t>
  </si>
  <si>
    <t>Electronic Collections Online</t>
  </si>
  <si>
    <t>http://newfirstsearch.oclc.org/dbname=ECO;FSIP</t>
  </si>
  <si>
    <t>Online collection of scholarly journals</t>
  </si>
  <si>
    <t>An OCLC collection of scholarly journals.</t>
  </si>
  <si>
    <t>Ecology Abstracts</t>
  </si>
  <si>
    <t>http://www.csa.com/htbin/dbrng.cgi?username=paulg&amp;access=paulg20&amp;db=ecology-set-c</t>
  </si>
  <si>
    <t>Database of current ecology research.</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</si>
  <si>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</si>
  <si>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</si>
  <si>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</si>
  <si>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Covers all fields of economics, including capital markets, country studies, econometrics, economic forecasting, government regulations and monetary theory.</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</si>
  <si>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</si>
  <si>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</si>
  <si>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</si>
  <si>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InfoTrac</t>
  </si>
  <si>
    <t>Online collection of books published during the 18th century.</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</si>
  <si>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</si>
  <si>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</si>
  <si>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</si>
  <si>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</si>
  <si>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Abstracts of environmental impact statements issued by the federal government.</t>
  </si>
  <si>
    <t>Electronics and Communications Abstracts</t>
  </si>
  <si>
    <t>http://www.csa.com/htbin/dbrng.cgi?username=paulg&amp;access=paulg20&amp;db=electronics-set-c</t>
  </si>
  <si>
    <t>Database of literature related to electronics and communications.</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</si>
  <si>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</si>
  <si>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</si>
  <si>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</si>
  <si>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Emporis Research</t>
  </si>
  <si>
    <t>International database of architectural and building data.</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</si>
  <si>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</si>
  <si>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</si>
  <si>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</si>
  <si>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</si>
  <si>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</si>
  <si>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</si>
  <si>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</si>
  <si>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Office of Scientific &amp; Technical Information</t>
  </si>
  <si>
    <t xml:space="preserve"> U.S. Dept. of Energy (DOE) reports and documents.</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</si>
  <si>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</si>
  <si>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</si>
  <si>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</si>
  <si>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Advanced Polymers Abstracts, Composites Industry Abstracts, Engineered Materials Abstracts, Ceramics</t>
  </si>
  <si>
    <t>Abstracts of research on ceramics, composites, and polymers.</t>
  </si>
  <si>
    <t>Engineered Materials Abstracts, Ceramics</t>
  </si>
  <si>
    <t>http://www.csa.com/htbin/dbrng.cgi?username=paulg&amp;access=paulg20&amp;db=ema-ceramics-set-c</t>
  </si>
  <si>
    <t>Citations of literature on structural ceramics.</t>
  </si>
  <si>
    <t>Engineering Sciences and Pollution Management</t>
  </si>
  <si>
    <t>http://www.csa.com/htbin/dbrng.cgi?username=paulg&amp;access=paulg20&amp;db=envclust-set-c</t>
  </si>
  <si>
    <t>Entomology Abstracts</t>
  </si>
  <si>
    <t>http://www.csa.com/htbin/dbrng.cgi?username=paulg&amp;access=paulg20&amp;db=entomology-set-c</t>
  </si>
  <si>
    <t>Covers research and reports on entomology.</t>
  </si>
  <si>
    <t>Environmental Engineering Abstracts</t>
  </si>
  <si>
    <t>http://www.csa.com/htbin/dbrng.cgi?username=paulg&amp;access=paulg20&amp;db=environmental-set-c</t>
  </si>
  <si>
    <t>Covers journal literature on technological and engineering aspects of air and water quality, environmental safety, and energy production.</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</si>
  <si>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</si>
  <si>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ASFA 3: Aquatic Pollution and Environmental Quality, Bacteriology Abstracts (Microbiology B), Biotechnology Research Abstracts, Ecology Abstracts, Environmental Engineering Abstracts, Health and Safety Science Abstracts, Human Population &amp; Natural Resource Management, Industrial and Applied Microbiology Abstracts (Microbiology A), Pollution Abstracts, Risk Abstracts, Sustainability Science Abstracts, Toxicology Abstracts, Water Resources Abstracts</t>
  </si>
  <si>
    <t>Multidisciplinary database covering all aspects of the environmental sciences.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</si>
  <si>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</si>
  <si>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</si>
  <si>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</si>
  <si>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Environmental Protection Agency</t>
  </si>
  <si>
    <t>Searchable database of EPA science activities and scientific/technical work products.</t>
  </si>
  <si>
    <t>E-print Network</t>
  </si>
  <si>
    <t>http://eprints.osti.gov/</t>
  </si>
  <si>
    <t>Provides a deep web distributed search across dozens of online document collections.</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</si>
  <si>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</si>
  <si>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</si>
  <si>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</si>
  <si>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</si>
  <si>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Comprehensive database of information and literature on all aspects of education.</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</si>
  <si>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</si>
  <si>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</si>
  <si>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</si>
  <si>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patent</t>
  </si>
  <si>
    <t>European Patent Office</t>
  </si>
  <si>
    <t>Online database of international patents from the European Patent Office.</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</si>
  <si>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</si>
  <si>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</si>
  <si>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</si>
  <si>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Fermilab</t>
  </si>
  <si>
    <t>Pre-prints and other publications from the Fermi National Accelerator Laboratory.</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</si>
  <si>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</si>
  <si>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</si>
  <si>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</si>
  <si>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Database of information on food science, food technology and nutrition.</t>
  </si>
  <si>
    <t>Funk &amp;amp; Wagnalls New World Encyclopedia</t>
  </si>
  <si>
    <t>http://search.EBSCOhost.com/login.asp?profile=web&amp;defaultdb=funk</t>
  </si>
  <si>
    <t>Online version of the popular encyclopedia.</t>
  </si>
  <si>
    <t>Online version of the popular encyclopedia, featuring over 25,000 entries, covering a broad array of topics.</t>
  </si>
  <si>
    <t>GenBank</t>
  </si>
  <si>
    <t>http://www.ncbi.nlm.nih.gov/Genbank/</t>
  </si>
  <si>
    <t>National Center for Biotechnology Information</t>
  </si>
  <si>
    <t>Annotated collection of all publicly available DNA sequences.</t>
  </si>
  <si>
    <t>GenBank is the National Institute of Health (NIH) genetic sequence database, an annotated collection of all publicly available DNA sequences.</t>
  </si>
  <si>
    <t>Genetics Abstracts</t>
  </si>
  <si>
    <t>http://www.csa.com/htbin/dbrng.cgi?username=paulg&amp;access=paulg20&amp;db=genetics-set-c</t>
  </si>
  <si>
    <t>Database of literature covering all aspects of genetics.</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</si>
  <si>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</si>
  <si>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</si>
  <si>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</si>
  <si>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National Institutes of Health</t>
  </si>
  <si>
    <t>Glossary of genetic terms</t>
  </si>
  <si>
    <t>Google Patent Search</t>
  </si>
  <si>
    <t>http://www.google.com/patents</t>
  </si>
  <si>
    <t>Google</t>
  </si>
  <si>
    <t>Search the full text of the U.S. patent corpus.</t>
  </si>
  <si>
    <t>Google Patent Search offers full-text searching of the entire U.S. patent corpus.</t>
  </si>
  <si>
    <t>Google Scholar</t>
  </si>
  <si>
    <t>http://scholar.google.com</t>
  </si>
  <si>
    <t>Provides a simple search for scholarly literature across all academic subjects.</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</si>
  <si>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</si>
  <si>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</si>
  <si>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</si>
  <si>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Bernan Press</t>
  </si>
  <si>
    <t>GPO</t>
  </si>
  <si>
    <t>U.S. Government Printing Office</t>
  </si>
  <si>
    <t>http://newfirstsearch.oclc.org/dbname=GPO;FSIP</t>
  </si>
  <si>
    <t>Database of government publications.</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</si>
  <si>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</si>
  <si>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</si>
  <si>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</si>
  <si>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Index of research covering all aspects of human impact to the environment.</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</si>
  <si>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</si>
  <si>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</si>
  <si>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</si>
  <si>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this once-popular 19th-century newspaper.</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</si>
  <si>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</si>
  <si>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</si>
  <si>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</si>
  <si>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Database of literature relating to public health, safety, and industrial hygiene.</t>
  </si>
  <si>
    <t>Health Source - Consumer Edition</t>
  </si>
  <si>
    <t>http://search.EBSCOhost.com/login.asp?profile=web&amp;defaultdb=hxh</t>
  </si>
  <si>
    <t>Database of consumer health information and literature.</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</si>
  <si>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</si>
  <si>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</si>
  <si>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</si>
  <si>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Medicine, health, pharmacology.</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</si>
  <si>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</si>
  <si>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</si>
  <si>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</si>
  <si>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Indexes scholarly literature covering the history of science, technology, and medicine.</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</si>
  <si>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</si>
  <si>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</si>
  <si>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</si>
  <si>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Covers genome research literature.</t>
  </si>
  <si>
    <t>Human Population &amp; Natural Resource Management</t>
  </si>
  <si>
    <t>http://www.csa.com/htbin/dbrng.cgi?username=paulg&amp;access=paulg20&amp;db=humanpop-set-c</t>
  </si>
  <si>
    <t>Abstracts of literature related to human population dynamics and the environment.</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</si>
  <si>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</si>
  <si>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</si>
  <si>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</si>
  <si>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</si>
  <si>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Access the full text of publications from the IEEE and the IEE.</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</si>
  <si>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</si>
  <si>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</si>
  <si>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</si>
  <si>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CARLI</t>
  </si>
  <si>
    <t>Search the collections of dozens of academic libraries in Illinois.</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</si>
  <si>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</si>
  <si>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</si>
  <si>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</si>
  <si>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Digital collection of IIT-published campus newspapers.</t>
  </si>
  <si>
    <t>IIT Library Catalog</t>
  </si>
  <si>
    <t>https://vufind.carli.illinois.edu/vf-iit/</t>
  </si>
  <si>
    <t>IIT Library</t>
  </si>
  <si>
    <t>Begin your book search here.</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</si>
  <si>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</si>
  <si>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</si>
  <si>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</si>
  <si>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Abstracts of scientific literature related to immunology.</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</si>
  <si>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</si>
  <si>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</si>
  <si>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</si>
  <si>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Database of literature covering microbiology.</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</si>
  <si>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</si>
  <si>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</si>
  <si>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</si>
  <si>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Office of Scientific and Technical Information</t>
  </si>
  <si>
    <t>Full-text documents and bibliographic citations of Department of Energy (DOE) research report literature.</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</si>
  <si>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</si>
  <si>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</si>
  <si>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</si>
  <si>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Infoplease</t>
  </si>
  <si>
    <t>Online version of the popular almanac.</t>
  </si>
  <si>
    <t>Infotrac</t>
  </si>
  <si>
    <t>http://infotrac.galegroup.com/itweb/chic40381</t>
  </si>
  <si>
    <t>Inspec</t>
  </si>
  <si>
    <t>http://apps.webofknowledge.com/INSPEC_GeneralSearch_input.do?product=INSPEC&amp;search_mode=GeneralSearch</t>
  </si>
  <si>
    <t>Comprehensive database covering all aspects of science, engineering, and technology.</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</si>
  <si>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</si>
  <si>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</si>
  <si>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</si>
  <si>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U of M School of Information</t>
  </si>
  <si>
    <t>Directory of web sites covering all academic subjects, including reference sources and e-books.</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</si>
  <si>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</si>
  <si>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</si>
  <si>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</si>
  <si>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</si>
  <si>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</si>
  <si>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</si>
  <si>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Institute of Physics</t>
  </si>
  <si>
    <t>Access over 50 research journals published by the IoP.</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</si>
  <si>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</si>
  <si>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</si>
  <si>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</si>
  <si>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</si>
  <si>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UIUC Library</t>
  </si>
  <si>
    <t>Database of grants, offerings and other funding sources.</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</si>
  <si>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</si>
  <si>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</si>
  <si>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</si>
  <si>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Archive of essential scholarly journals related to the humanities, physical sciences, and social sciences.</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</si>
  <si>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</si>
  <si>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</si>
  <si>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</si>
  <si>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Academic</t>
  </si>
  <si>
    <t>Vast database of news, business, legal, medical, and reference publications.</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</si>
  <si>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</si>
  <si>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</si>
  <si>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</si>
  <si>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Online access to journals published by Mary Ann Liebert, Inc.</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</si>
  <si>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</si>
  <si>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</si>
  <si>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</si>
  <si>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</si>
  <si>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Index of academic literature related to information science and librarianship.</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</si>
  <si>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</si>
  <si>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</si>
  <si>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</si>
  <si>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Compu.tecture, Incorporated</t>
  </si>
  <si>
    <t>Access building codes and standards online.</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</si>
  <si>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</si>
  <si>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</si>
  <si>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</si>
  <si>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Online access to legal treatises on U.S. and British law published from 1800-1926.</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</si>
  <si>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</si>
  <si>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</si>
  <si>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</si>
  <si>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MarketResearch.com</t>
  </si>
  <si>
    <t>Market reports, company profiles, consumer demographics.</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</si>
  <si>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</si>
  <si>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</si>
  <si>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</si>
  <si>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Covers news, product development, construction, trade, regulation, and management issues related to technology, science, and engineering industries.</t>
  </si>
  <si>
    <t>MathSciNet</t>
  </si>
  <si>
    <t>http://www.ams.org/mathscinet/search</t>
  </si>
  <si>
    <t>American Mathematical Society</t>
  </si>
  <si>
    <t>Database of scholarly mathematical literature.</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</si>
  <si>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</si>
  <si>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</si>
  <si>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</si>
  <si>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Provides citations, abstracts, and indexing of the serials literature in mechanical and transportation engineering.</t>
  </si>
  <si>
    <t>Medical and Pharmaceutical Biotechnology Abstracts</t>
  </si>
  <si>
    <t>http://www.csa.com/htbin/dbrng.cgi?username=paulg&amp;access=paulg20&amp;db=medical-pharmaceutical-set-c</t>
  </si>
  <si>
    <t>MEDLINE</t>
  </si>
  <si>
    <t>http://newfirstsearch.oclc.org/dbname=MEDLINE;FSIP</t>
  </si>
  <si>
    <t>Database of research covering all areas of medicine, health care, and pharmacology.</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</si>
  <si>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</si>
  <si>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</si>
  <si>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</si>
  <si>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U.S. National Library of Medicine</t>
  </si>
  <si>
    <t>Consumer health information.</t>
  </si>
  <si>
    <t>Mental Measurements Yearbook / Tests in Print</t>
  </si>
  <si>
    <t>http://search.EBSCOhost.com/login.asp?profile=ehost&amp;defaultdb=mmt</t>
  </si>
  <si>
    <t>These two databases contain information on psychological, educational, and vocational testing, including a  Comprehensive bibliography of all known commercially available tests.</t>
  </si>
  <si>
    <t>Mental Measurements Yearbook contains full text information and reviews of all English-language standardized tests covering educational skills, personality, vocational aptitude, psychology, and related areas.</t>
  </si>
  <si>
    <t>RSC Journal Archives (abstracts)</t>
  </si>
  <si>
    <t>http://www.rsc.org/Publishing/Journals/fjournalsearch.asp</t>
  </si>
  <si>
    <t>Index of journal literature published by the Royal Society of Chemistry.</t>
  </si>
  <si>
    <t>Merriam-Webster OnLine</t>
  </si>
  <si>
    <t>http://www.m-w.com/</t>
  </si>
  <si>
    <t>Merriam-Webster</t>
  </si>
  <si>
    <t>Online version of this essential dictionary.</t>
  </si>
  <si>
    <t>METADEX</t>
  </si>
  <si>
    <t>http://www.csa.com/htbin/dbrng.cgi?username=paulg&amp;access=paulg20&amp;db=metadex-set-c</t>
  </si>
  <si>
    <t>Information on metals and alloys.</t>
  </si>
  <si>
    <t>MicroPatent Materials Patents</t>
  </si>
  <si>
    <t>http://www.csa.com/htbin/dbrng.cgi?username=paulg&amp;access=paulg20&amp;db=micropatent-set-c</t>
  </si>
  <si>
    <t>Monthly updates of international patents related to technology, engineering, materials, and the sciences.</t>
  </si>
  <si>
    <t>Military &amp;amp; Government Collection</t>
  </si>
  <si>
    <t>http://search.EBSCOhost.com/login.asp?profile=web&amp;defaultdb=mth</t>
  </si>
  <si>
    <t>Abstracts of journal literature related to all branches of the military.</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</si>
  <si>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</si>
  <si>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</si>
  <si>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</si>
  <si>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Center for the Study of Ethics in the Professions</t>
  </si>
  <si>
    <t>Interdisciplinary database of documents related to the social and ethical implications of nanotechnology.</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</si>
  <si>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</si>
  <si>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</si>
  <si>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</si>
  <si>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</si>
  <si>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NASA</t>
  </si>
  <si>
    <t>Access technical reports and other documents produced by NASA.</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</si>
  <si>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t>
  </si>
  <si>
    <t>NBER</t>
  </si>
  <si>
    <t>National Bureau of Economic Research Working Papers</t>
  </si>
  <si>
    <t>http://papers.nber.org/</t>
  </si>
  <si>
    <t>National Bureau of Economic Research</t>
  </si>
  <si>
    <t>Database of reports and papers produced by the NBER.</t>
  </si>
  <si>
    <t>Database of reports, papers, and other publications produced by the National Bureau of Economic Research -- a private, nonprofit, nonpartisan research organization.</t>
  </si>
  <si>
    <t>eBook Collection (EBSCOhost)</t>
  </si>
  <si>
    <t>http://search.EBSCOhost.com/login.asp?profile=web&amp;defaultdb=nlebk</t>
  </si>
  <si>
    <t>Illinois Digital Academic Library</t>
  </si>
  <si>
    <t>You may be asked to create an individual account for access to content.</t>
  </si>
  <si>
    <t>Collection of e-books for all academic subjects.</t>
  </si>
  <si>
    <t>This database contains almost 3,400 electronic books made available through the Illinois Digital Academic Library (IDAL).</t>
  </si>
  <si>
    <t>NYPL Digital Gallery</t>
  </si>
  <si>
    <t>http://digitalgallery.nypl.org/nypldigital/index.cfm</t>
  </si>
  <si>
    <t>New York Public Library</t>
  </si>
  <si>
    <t>Database of over 600,000 images from the collections of the New York Public Library.</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</si>
  <si>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</si>
  <si>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</si>
  <si>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</si>
  <si>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NewsBank Inc.</t>
  </si>
  <si>
    <t>Online editions of over 700 local, regional, and national U.S. newspapers and magazines.</t>
  </si>
  <si>
    <t>Newspaper Source</t>
  </si>
  <si>
    <t>http://search.EBSCOhost.com/login.asp?profile=web&amp;defaultdb=nfh</t>
  </si>
  <si>
    <t>Online full text for over 400 national and international newspapers.</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</si>
  <si>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</si>
  <si>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</si>
  <si>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</si>
  <si>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Database of government-produced technical information.</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</si>
  <si>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</si>
  <si>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</si>
  <si>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</si>
  <si>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cloning and gene regulatory sequences.</t>
  </si>
  <si>
    <t>Oncogenes and Growth Factors Abstracts</t>
  </si>
  <si>
    <t>http://www.csa.com/htbin/dbrng.cgi?username=paulg&amp;access=paulg20&amp;db=oncogenes-set-c</t>
  </si>
  <si>
    <t>Covers experimental and clinical literature focusing on mechanisms of oncogenes and growth factors.</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</si>
  <si>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</si>
  <si>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</si>
  <si>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</si>
  <si>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Optical Society of America</t>
  </si>
  <si>
    <t xml:space="preserve">Online repository of journals from the Optical Society of America. </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</si>
  <si>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</si>
  <si>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</si>
  <si>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</si>
  <si>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Oxford English Dictionary</t>
  </si>
  <si>
    <t>http://www.oed.com/</t>
  </si>
  <si>
    <t>OED Online</t>
  </si>
  <si>
    <t>Online edition of the definitive dictionary of the English language.</t>
  </si>
  <si>
    <t xml:space="preserve">Online edition of the definitive dictionary of the English language. Find word definitions, etymology, date charts, and more. </t>
  </si>
  <si>
    <t>Papers First</t>
  </si>
  <si>
    <t>http://newfirstsearch.oclc.org/dbname=PapersFirst;FSIP</t>
  </si>
  <si>
    <t>An index of papers presented at conferences.</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</si>
  <si>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</si>
  <si>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</si>
  <si>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</si>
  <si>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</si>
  <si>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t>
  </si>
  <si>
    <t>Periodical abstracts from general and academic journals. Subject covered include business, economics, literature, psychology, religion, and women's studies.</t>
  </si>
  <si>
    <t>Philosopher's Index</t>
  </si>
  <si>
    <t>http://search.ebscohost.com/login.aspx?authtype=ip,uid&amp;profile=ehost&amp;defaultdb=phl</t>
  </si>
  <si>
    <t>Covers all major fields of philosophy.</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</si>
  <si>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</si>
  <si>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</si>
  <si>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</si>
  <si>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</si>
  <si>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Index of  literature on traumatic stress.</t>
  </si>
  <si>
    <t>Plant Science</t>
  </si>
  <si>
    <t>http://www.csa.com/htbin/dbrng.cgi?username=paulg&amp;access=paulg20&amp;db=plantsci-set-c</t>
  </si>
  <si>
    <t>Citations and abstracts of scientific literature on all aspects of plant science.</t>
  </si>
  <si>
    <t>PLoS</t>
  </si>
  <si>
    <t>Public Library of Science</t>
  </si>
  <si>
    <t>http://www.plos.org/</t>
  </si>
  <si>
    <t>Online repository of open-access scientific journals.</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</si>
  <si>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</si>
  <si>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</si>
  <si>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</si>
  <si>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Covers scientific research and government policy relating to global pollution issues.</t>
  </si>
  <si>
    <t>Proceedings</t>
  </si>
  <si>
    <t>http://newfirstsearch.oclc.org/dbname=Proceedings;FSIP</t>
  </si>
  <si>
    <t>Index of worldwide conference proceedings.</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</si>
  <si>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</si>
  <si>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</si>
  <si>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</si>
  <si>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Citations of education literature, including many full-text journals.</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</si>
  <si>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</si>
  <si>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</si>
  <si>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</si>
  <si>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PGCC</t>
  </si>
  <si>
    <t>Access to over 75,000 e-books, including classics of literature.</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</si>
  <si>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</si>
  <si>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</si>
  <si>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</si>
  <si>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John Hopkins University Press</t>
  </si>
  <si>
    <t>Online collection of prestigious humanities, arts, and social sciences journals.</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</si>
  <si>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</si>
  <si>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</si>
  <si>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</si>
  <si>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</si>
  <si>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</si>
  <si>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</si>
  <si>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Database of full-text scholarly articles from psychology journals.</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</si>
  <si>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</si>
  <si>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</si>
  <si>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</si>
  <si>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The authoritative source for scholarly literature in the behavioral sciences and mental health.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</si>
  <si>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</si>
  <si>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</si>
  <si>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</si>
  <si>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STINET Online</t>
  </si>
  <si>
    <t>Access to technical reports from all three branches of the military.</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</si>
  <si>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t>
  </si>
  <si>
    <t>PubMed</t>
  </si>
  <si>
    <t>http://www.ncbi.nlm.nih.gov/sites/entrez?otool=ilinstclib</t>
  </si>
  <si>
    <t>National Library of Medicine</t>
  </si>
  <si>
    <t>Covers biomedical and life sciences journal literature.</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</si>
  <si>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</si>
  <si>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</si>
  <si>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</si>
  <si>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Covers 75 U.S. business journals, newspapers and newswires.</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</si>
  <si>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</si>
  <si>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</si>
  <si>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</si>
  <si>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Covers journal literature on risk arising from industrial, technological, environmental, and other sources.</t>
  </si>
  <si>
    <t>SAGE Journals Online</t>
  </si>
  <si>
    <t>http://online.sagepub.com</t>
  </si>
  <si>
    <t>SAGE Publications</t>
  </si>
  <si>
    <t>Collection of full-text journals in business, communications, psychology, and the social sciences.</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</si>
  <si>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</si>
  <si>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</si>
  <si>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</si>
  <si>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access to large-scale historical maps of more than 12,000 American towns and cities.</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</si>
  <si>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</si>
  <si>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</si>
  <si>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</si>
  <si>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Digital images of paintings, sculpture and architecture.</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</si>
  <si>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</si>
  <si>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</si>
  <si>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</si>
  <si>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Department of Education</t>
  </si>
  <si>
    <t>Directory of selected science information web sites provided by U.S. government agencies.</t>
  </si>
  <si>
    <t>ScienceDirect</t>
  </si>
  <si>
    <t>http://www.sciencedirect.com/science?_ob=JournalListURL&amp;_update=y&amp;_auth=y&amp;_acct=C000038758&amp;md5=53ed6a00967cec5320d541a476b9d31e&amp;subjColl=all&amp;stype=title&amp;type=subscribed</t>
  </si>
  <si>
    <t>Elsevier</t>
  </si>
  <si>
    <t>Online access to journals published by Elsevier in the fields of science, technology, and medicine.</t>
  </si>
  <si>
    <t>Online access to journals published by Elsevier, mainly in the fields of science, technology, and medicine. Use the Browse links to search for journals by subject area or title.</t>
  </si>
  <si>
    <t>SciFinder Scholar</t>
  </si>
  <si>
    <t>https://scifinder.cas.org/scifinder</t>
  </si>
  <si>
    <t>You &lt;u&gt;must&lt;/u&gt; register with SciFinder first. Click &lt;a href=\http://library.iit.edu/databases/scifinder.php\"&gt;here&lt;/a&gt; for registration information."</t>
  </si>
  <si>
    <t>The premier research tool for chemical, biological, biomedical, and related scientific information.</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</si>
  <si>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</si>
  <si>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</si>
  <si>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</si>
  <si>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</si>
  <si>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</si>
  <si>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</si>
  <si>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Search engine for scientific literature and information in selected journals and on the Web.</t>
  </si>
  <si>
    <t>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t>
  </si>
  <si>
    <t>http://scitation.aip.org/</t>
  </si>
  <si>
    <t>Database of journals and proceedings published by various science and engineering societies.</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</si>
  <si>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</si>
  <si>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</si>
  <si>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</si>
  <si>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</si>
  <si>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Online digital library of publications of the SIAM from 1997-present.</t>
  </si>
  <si>
    <t>An online digital library of publications of the Society for Industrial and Applied Mathematics, from 1997-present. Use the Advanced Search feature to search multiple titles simultaneously.</t>
  </si>
  <si>
    <t>SIAM Locus</t>
  </si>
  <si>
    <t>http://locus.siam.org/</t>
  </si>
  <si>
    <t>Online digital library of publications of the SIAM from 1952-1996.</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</si>
  <si>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</si>
  <si>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</si>
  <si>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</si>
  <si>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Smithsonian</t>
  </si>
  <si>
    <t>Image database of over 13 million images from Smithsonian museums and research centers.</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</si>
  <si>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</si>
  <si>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</si>
  <si>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</si>
  <si>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Abstracts of current research on social work, human services, and related areas.</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</si>
  <si>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</si>
  <si>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</si>
  <si>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</si>
  <si>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Index of over 1,800 social and behavioral sciences journals.</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</si>
  <si>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</si>
  <si>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</si>
  <si>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</si>
  <si>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Covers journal literature on solid state materials and superconductivity.</t>
  </si>
  <si>
    <t>SPIRES-HEP</t>
  </si>
  <si>
    <t>High-Energy Physics Literature Database</t>
  </si>
  <si>
    <t>http://www.slac.stanford.edu/spires/hep/</t>
  </si>
  <si>
    <t>au</t>
  </si>
  <si>
    <t>Stanford University</t>
  </si>
  <si>
    <t>Index of journal literature on high-energy physics.</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</si>
  <si>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</si>
  <si>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</si>
  <si>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</si>
  <si>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Springer</t>
  </si>
  <si>
    <t>Online access to journals published by Springer.</t>
  </si>
  <si>
    <t>Provides electronic access to the complete contents of a growing collection of SpringerLink journals in subjects including Mathematics and Computer Science (formerly Kluwer Journals).</t>
  </si>
  <si>
    <t>State and County QuickFacts</t>
  </si>
  <si>
    <t>http://quickfacts.census.gov/qfd/</t>
  </si>
  <si>
    <t>US Census Bureau</t>
  </si>
  <si>
    <t>Facts about people, business, and geography from the U.S Census.</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</si>
  <si>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</si>
  <si>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</si>
  <si>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</si>
  <si>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Available only at the Galvin Library. Please see a librarian at the Reference Desk for username and password.</t>
  </si>
  <si>
    <t>Federal business, trade and economic information from the U.S. Dept. of Commerce.</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</si>
  <si>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</si>
  <si>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</si>
  <si>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</si>
  <si>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Indexes literature on the management of human use and conservation of natural resources.</t>
  </si>
  <si>
    <t>Teacher Reference Center</t>
  </si>
  <si>
    <t>http://search.EBSCOhost.com/login.asp?profile=web&amp;defaultdb=trh</t>
  </si>
  <si>
    <t>Indexing and abstracts for teacher and administrator journals and magazines.</t>
  </si>
  <si>
    <t>Provides indexing and abstracts for more than 270 of the most popular teacher and administrator journals and magazines to assist professional educators.</t>
  </si>
  <si>
    <t>Thesaurus.com</t>
  </si>
  <si>
    <t>http://thesaurus.reference.com/</t>
  </si>
  <si>
    <t>Online version of Roget's II: The New Thesaurus.</t>
  </si>
  <si>
    <t>ThomasNet</t>
  </si>
  <si>
    <t>http://www.thomasnet.com/</t>
  </si>
  <si>
    <t>Thomas Publishing Company</t>
  </si>
  <si>
    <t>Requires free personal registration</t>
  </si>
  <si>
    <t>Online version of the Thomas Register of American Manufacturers.</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</si>
  <si>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</si>
  <si>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</si>
  <si>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</si>
  <si>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Abstracts and citations of scientific literature covering all fields of toxicology.</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</si>
  <si>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</si>
  <si>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</si>
  <si>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</si>
  <si>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Offers access to information in all areas of toxicology.</t>
  </si>
  <si>
    <t>TRIS - NTL Integrated Search</t>
  </si>
  <si>
    <t>Transportation Research Information Services</t>
  </si>
  <si>
    <t>http://ntlsearch.bts.gov/tris/index.do</t>
  </si>
  <si>
    <t>Transportation Research Board</t>
  </si>
  <si>
    <t>Search the TRIS database and NTL Catalog.</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</si>
  <si>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</si>
  <si>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</si>
  <si>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</si>
  <si>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Online collection of records and briefs brought before the U.S. Supreme Court from 1832-1978.</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</si>
  <si>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</si>
  <si>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</si>
  <si>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</si>
  <si>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University of Virginia</t>
  </si>
  <si>
    <t>Access to over 10,000 publicly accessible e-books.</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</si>
  <si>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</si>
  <si>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</si>
  <si>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</si>
  <si>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Export and import information on more than 18,000 commodities worldwide.</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</si>
  <si>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</si>
  <si>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</si>
  <si>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</si>
  <si>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</si>
  <si>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United States Patent and Trademark Office</t>
  </si>
  <si>
    <t>Database of all U.S. patents issued since 1790.</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</si>
  <si>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t>
  </si>
  <si>
    <t>Virology and AIDS Abstracts</t>
  </si>
  <si>
    <t>http://www.csa.com/htbin/dbrng.cgi?username=paulg&amp;access=paulg20&amp;db=virology-set-c</t>
  </si>
  <si>
    <t>Database of literature related to virology and AIDS research.</t>
  </si>
  <si>
    <t>Voices of the Holocaust</t>
  </si>
  <si>
    <t>http://voices.iit.edu/</t>
  </si>
  <si>
    <t>Text and audio of interviews with victims of the Nazi Holocaust.</t>
  </si>
  <si>
    <t>Digital collection offering access to text and audio of first-hand interviews conducted in 1946 with victims of the Nazi holocaust by former IIT professor David P. Boder.</t>
  </si>
  <si>
    <t>Wall Street Journal</t>
  </si>
  <si>
    <t>http://online.wsj.com/</t>
  </si>
  <si>
    <t>Dow Jones</t>
  </si>
  <si>
    <t>Must create &lt;a href=\http://ezproxy.gl.iit.edu/loggedin/dj.htm\"&gt;personal login&lt;/a&gt; from IIT link (Currently works only from on-campus)."</t>
  </si>
  <si>
    <t>Access all WSJ content online from the Dow Jones website.</t>
  </si>
  <si>
    <t xml:space="preserve">Access all WSJ content online from the Dow Jones website in the original online layout.Online coverage of the popular business newspaper, including analysis tools and news from the past four years. </t>
  </si>
  <si>
    <t>Water Resources Abstracts</t>
  </si>
  <si>
    <t>http://www.csa.com/htbin/dbrng.cgi?username=paulg&amp;access=paulg20&amp;db=water-resources-set-c</t>
  </si>
  <si>
    <t xml:space="preserve">Index of technical and scientific literature on water-related topics </t>
  </si>
  <si>
    <t>Web of Science</t>
  </si>
  <si>
    <t>http://apps.webofknowledge.com/WOS_GeneralSearch_input.do?product=WOS&amp;search_mode=GeneralSearch</t>
  </si>
  <si>
    <t>ISI</t>
  </si>
  <si>
    <t>Limited to three (3) concurrent users</t>
  </si>
  <si>
    <t>Comprehensive index of journal literature in the sciences.</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</si>
  <si>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</si>
  <si>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</si>
  <si>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</si>
  <si>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Abstracts of scientific literature on welding and allied processes.</t>
  </si>
  <si>
    <t>Wiley InterScience</t>
  </si>
  <si>
    <t>http://www3.interscience.wiley.com/browse/?type=JOURNAL&amp;titles=1</t>
  </si>
  <si>
    <t>John Wiley &amp; Sons</t>
  </si>
  <si>
    <t>Access to leading scientific, technical, medical journals.</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</si>
  <si>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</si>
  <si>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</si>
  <si>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</si>
  <si>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Interdisciplinary database covering journal literature in the sciences and humanities.</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</si>
  <si>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</si>
  <si>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</si>
  <si>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</si>
  <si>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with encyclopedia and almanac content.</t>
  </si>
  <si>
    <t>Online reference source featuring content from Funk &amp;amp; Wagnalls New Encyclopedia and four almanacs.</t>
  </si>
  <si>
    <t>WorldCat</t>
  </si>
  <si>
    <t>http://newfirstsearch.oclc.org/dbname=WorldCat;FSIP</t>
  </si>
  <si>
    <t>Online catalog featuring the holdings of more than 8,000 libraries worldwide.</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</si>
  <si>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</si>
  <si>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</si>
  <si>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</si>
  <si>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National Geographic</t>
  </si>
  <si>
    <t>Satellite photos, street maps, and more.</t>
  </si>
  <si>
    <t>Satellite photos, street maps, and more are available in this online atlas.</t>
  </si>
  <si>
    <t>Government Documents Online Map Directory</t>
  </si>
  <si>
    <t>http://guides.library.iit.edu/content.php?pid=27903&amp;sid=322018</t>
  </si>
  <si>
    <t>Comprehensive directory of web-based and print map resources.</t>
  </si>
  <si>
    <t>Comprehensive directory of web-based and print map resources. Maintained by the Galvin Library Government Documents Depository staff.</t>
  </si>
  <si>
    <t>World's Columbian Exposition of 1893</t>
  </si>
  <si>
    <t>http://columbus.gl.iit.edu/</t>
  </si>
  <si>
    <t>Online collection of illustrations and images from the Chicago World's Fair.</t>
  </si>
  <si>
    <t>An online collection of over 12,000 illustrations and full-text images from four rare nineteenth-century volumes about the Chicago World's Fair.</t>
  </si>
  <si>
    <t>IEEE Standards</t>
  </si>
  <si>
    <t>http://ieeexplore.ieee.org/xpl/standards.jsp</t>
  </si>
  <si>
    <t>Online access to standards published by the IEEE.</t>
  </si>
  <si>
    <t>Online access to standards published by the Institute of Electrical and Electronics Engineers. Search by standard number, keyword, or industry.</t>
  </si>
  <si>
    <t>Galvin Library Public Administration Index</t>
  </si>
  <si>
    <t>http://guides.library.iit.edu/content.php?pid=27903&amp;sid=205275</t>
  </si>
  <si>
    <t>Listings of widely used policy analysis and legislative websites.</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</si>
  <si>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</si>
  <si>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</si>
  <si>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</si>
  <si>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Gale Cengage</t>
  </si>
  <si>
    <t>Search this database to find detailed company and industry news and information.</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</si>
  <si>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</si>
  <si>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</si>
  <si>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</si>
  <si>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Standard &amp; Poor's</t>
  </si>
  <si>
    <t>Business information, company profiles, financial reports</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</si>
  <si>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</si>
  <si>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</si>
  <si>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</si>
  <si>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Database of gray literature in psychology.</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</si>
  <si>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</si>
  <si>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</si>
  <si>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</si>
  <si>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</si>
  <si>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Covers information about behavioral measurement instruments.</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</si>
  <si>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</si>
  <si>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</si>
  <si>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</si>
  <si>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Database of funding opportunities for grants, fellowships, prizes, etc.</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</si>
  <si>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</si>
  <si>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</si>
  <si>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</si>
  <si>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</si>
  <si>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t>
  </si>
  <si>
    <t>Online collection of high-quality art images.</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</si>
  <si>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</si>
  <si>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</si>
  <si>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</si>
  <si>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Illinois State Geological Survey</t>
  </si>
  <si>
    <t>Topographic maps and other GIS data for Illinois.</t>
  </si>
  <si>
    <t>David Rumsey Historical Map Collection</t>
  </si>
  <si>
    <t>http://www.davidrumsey.com/</t>
  </si>
  <si>
    <t>Cartography Associates</t>
  </si>
  <si>
    <t>Online collection of rare 18th and 19th century maps.</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</si>
  <si>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</si>
  <si>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</si>
  <si>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</si>
  <si>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Definitive source for quantitative facts of American history.</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</si>
  <si>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</si>
  <si>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</si>
  <si>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</si>
  <si>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Online versions of over 60 encyclopedias related to social sciences, psychology, and business.</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</si>
  <si>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</si>
  <si>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</si>
  <si>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</si>
  <si>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Search the full-text of books digitized by Google. Some full text available.</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</si>
  <si>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</si>
  <si>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</si>
  <si>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</si>
  <si>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Internet Archive</t>
  </si>
  <si>
    <t>An online of collection of e-books curated by the Internet Archive.</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</si>
  <si>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</si>
  <si>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</si>
  <si>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</si>
  <si>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Coalition on Newspapers</t>
  </si>
  <si>
    <t>International directory of digital newspaper collections.</t>
  </si>
  <si>
    <t>Palgrave Dictionary of Economics</t>
  </si>
  <si>
    <t>http://www.dictionaryofeconomics.com/dictionary</t>
  </si>
  <si>
    <t>British Economist R. H. Inglis Palgrave was the original author of this dictionary, as well as an early editor of &lt;i&gt;The Economist&lt;/i&gt;.</t>
  </si>
  <si>
    <t>http://www.dictionaryofeconomics.com/help/default</t>
  </si>
  <si>
    <t>ARTstor</t>
  </si>
  <si>
    <t>http://library.artstor.org/</t>
  </si>
  <si>
    <t>ARTstor Inc.</t>
  </si>
  <si>
    <t>Digital library of images in the arts, architecture, humanities, and social sciences.</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</si>
  <si>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</si>
  <si>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</si>
  <si>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</si>
  <si>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Only 2 users can be logged into the database at one time.</t>
  </si>
  <si>
    <t>E-books covering all aspects of computer science and information technology.</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</si>
  <si>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</si>
  <si>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</si>
  <si>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</si>
  <si>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</si>
  <si>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</si>
  <si>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</si>
  <si>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</si>
  <si>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An online catalog of a wide variety of digital resources, created by (or related to) libraries and universities.</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</si>
  <si>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</si>
  <si>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</si>
  <si>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</si>
  <si>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Search historical archives of newspapers and other news sources.</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</si>
  <si>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</si>
  <si>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</si>
  <si>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</si>
  <si>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American Legal Publishing Corporation</t>
  </si>
  <si>
    <t>Access building codes and zoning info for the city of Chicago</t>
  </si>
  <si>
    <t>This portal offers access to Chicago's Municipal Code, Chicago Zoning Ordinance and Land Use Ordinance, and Building Code.</t>
  </si>
  <si>
    <t>NSSN.org</t>
  </si>
  <si>
    <t>National Resource for Global Standards</t>
  </si>
  <si>
    <t>http://www.nssn.org</t>
  </si>
  <si>
    <t>American National Standards Institute (ANSI)</t>
  </si>
  <si>
    <t>Search engine for standards info (does not offer full text).</t>
  </si>
  <si>
    <t>National Map Viewer</t>
  </si>
  <si>
    <t>http://nmviewogc.cr.usgs.gov/</t>
  </si>
  <si>
    <t>U.S. Geological Survey</t>
  </si>
  <si>
    <t>Find U.S. topographic and elevation data</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</si>
  <si>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</si>
  <si>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</si>
  <si>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</si>
  <si>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Morgan &amp;amp; Claypool Publishers</t>
  </si>
  <si>
    <t>E-books and lectures covering current topics in biomedical engineering.</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</si>
  <si>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</si>
  <si>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</si>
  <si>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</si>
  <si>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Inc.</t>
  </si>
  <si>
    <t>Provides info on U.S. and international companies; daily updates from NYSE, AMEX and Nasdaq exchanges; industry and executive biographies.</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</si>
  <si>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</si>
  <si>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</si>
  <si>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</si>
  <si>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Comprehensive bibliography of all known commercially available mental &amp;amp; psychological tests</t>
  </si>
  <si>
    <t>GRC Theses List</t>
  </si>
  <si>
    <t>https://docs.google.com/spreadsheet/ccc?key=0AlWl9zEZsWf_dGpuVGR0eDAyODN3ZUgtVF9PQkJnckE</t>
  </si>
  <si>
    <t>Graham Resource Center</t>
  </si>
  <si>
    <t>Information on theses by students of IIT's College of Architecture.</t>
  </si>
  <si>
    <t>This spreadsheet includes information on the authors, titles, and dates of publication of theses written by graduates of the College of Architecture at IIT.</t>
  </si>
  <si>
    <t>Springer eBooks</t>
  </si>
  <si>
    <t>http://www.springerlink.com/books</t>
  </si>
  <si>
    <t>Find e-books on architecture, design, business, medicine, and life sciences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</si>
  <si>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</si>
  <si>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</si>
  <si>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</si>
  <si>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dissertations and theses held in over 8,000 libraries worldwide.</t>
  </si>
  <si>
    <t>Search for dissertations and theses held in over 8,000 libraries worldwide. Covers all disciplines and subject areas.</t>
  </si>
  <si>
    <t>Gale Virtual Reference Library</t>
  </si>
  <si>
    <t>http://infotrac.galegroup.com/itweb/chic7029?db=GVRL</t>
  </si>
  <si>
    <t>A database of encyclopedias, almanacs, and specialized reference sources. Fully searchable across all files.</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</si>
  <si>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</si>
  <si>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</si>
  <si>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</si>
  <si>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Mango is an online language-learning system that teaches conversation skills for several different languages.</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</si>
  <si>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</si>
  <si>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</si>
  <si>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</si>
  <si>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</si>
  <si>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</si>
  <si>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</si>
  <si>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</si>
  <si>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</si>
  <si>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</si>
  <si>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</si>
  <si>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</si>
  <si>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</si>
  <si>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</si>
  <si>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</si>
  <si>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</si>
  <si>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</si>
  <si>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Illinois Institute of Technology</t>
  </si>
  <si>
    <t>Most content is publically accessible. However, you must register with your IIT email address to submit content.</t>
  </si>
  <si>
    <t>IIT's institutional repository, a digital archive of faculty, student, and staff research and scholarship.</t>
  </si>
  <si>
    <t>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t>
  </si>
  <si>
    <t>SSRN - Social Science Research Network</t>
  </si>
  <si>
    <t>http://papers.ssrn.com/sol3/</t>
  </si>
  <si>
    <t>Social Science Research Network</t>
  </si>
  <si>
    <t xml:space="preserve">A massive and mostly free database of scholarly working papers and forthcoming papers in the social sciences, political science, governance, and management. </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</si>
  <si>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</si>
  <si>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</si>
  <si>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</si>
  <si>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NAP</t>
  </si>
  <si>
    <t>More than 4000 titles available from the NAP on a wide range of topics in science, engineering, and health.</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</si>
  <si>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</si>
  <si>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</si>
  <si>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</si>
  <si>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A comprehensive collection of databases for the natural sciences and technology.</t>
  </si>
  <si>
    <t>The Times (London)</t>
  </si>
  <si>
    <t>http://find.galegroup.com/ttda/start.do?userGroupName=chic7029</t>
  </si>
  <si>
    <t xml:space="preserve">Complete issues of The Times (London) from 1785 to 2006. </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</si>
  <si>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</si>
  <si>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</si>
  <si>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</si>
  <si>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</si>
  <si>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</si>
  <si>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</si>
  <si>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</si>
  <si>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t>
  </si>
  <si>
    <t>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</si>
  <si>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</si>
  <si>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</si>
  <si>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Materials data based on the Landolt-B&amp;#246;rnstein New Series.</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</si>
  <si>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</si>
  <si>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</si>
  <si>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</si>
  <si>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Weekly newspaper covering U.S. financial news.</t>
  </si>
  <si>
    <t xml:space="preserve">Barron's publishes business and financial market news. It is published weekly and includes a summary of the previous week's market-affecting items. </t>
  </si>
  <si>
    <t>Earthquake Engineering Online Archive</t>
  </si>
  <si>
    <t>EEOA</t>
  </si>
  <si>
    <t>http://nisee.berkeley.edu/elibrary/</t>
  </si>
  <si>
    <t>&lt;a href=\/ask/\"&gt;Contact the library&lt;/a&gt; for access to this database."</t>
  </si>
  <si>
    <t>The Earthquake Engineering Online Archive is a database of significant, publicly-funded research and development literature, photographs, data, and software in earthquake, structural, and geotechnical engineering.</t>
  </si>
  <si>
    <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t>
  </si>
  <si>
    <t>id</t>
  </si>
  <si>
    <t>title</t>
  </si>
  <si>
    <t>altTitle</t>
  </si>
  <si>
    <t>url</t>
  </si>
  <si>
    <t>isActive</t>
  </si>
  <si>
    <t>isRestricted</t>
  </si>
  <si>
    <t>description</t>
  </si>
  <si>
    <t>internalNote</t>
  </si>
  <si>
    <t>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</si>
  <si>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t>
  </si>
  <si>
    <t>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t>
  </si>
  <si>
    <t>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t>
  </si>
  <si>
    <t>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t>
  </si>
  <si>
    <t>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t>
  </si>
  <si>
    <t>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t>
  </si>
  <si>
    <t>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t>
  </si>
  <si>
    <t>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t>
  </si>
  <si>
    <t>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</si>
  <si>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t>
  </si>
  <si>
    <t>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t>
  </si>
  <si>
    <t>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t>
  </si>
  <si>
    <t>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t>
  </si>
  <si>
    <t>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</si>
  <si>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t>
  </si>
  <si>
    <t>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t>
  </si>
  <si>
    <t>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t>
  </si>
  <si>
    <t>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t>
  </si>
  <si>
    <t>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t>
  </si>
  <si>
    <t>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t>
  </si>
  <si>
    <t>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t>
  </si>
  <si>
    <t>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t>
  </si>
  <si>
    <t>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t>
  </si>
  <si>
    <t>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t>
  </si>
  <si>
    <t>Entomology Abstracts covers recent research reports on entomology, with coverage including insects, arachnids, myriapods, onychophorans, and terrestrial isopods.</t>
  </si>
  <si>
    <t>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t>
  </si>
  <si>
    <t>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</si>
  <si>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t>
  </si>
  <si>
    <t>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</si>
  <si>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t>
  </si>
  <si>
    <t>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t>
  </si>
  <si>
    <t>Online version of the popular almanac. Information Please has been providing authoritative answers to all kinds of factual questions since 1938 -- first as a popular radio quiz show, then starting in 1947 as an annual almanac, and since 1998 on the Internet.</t>
  </si>
  <si>
    <t>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t>
  </si>
  <si>
    <t>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t>
  </si>
  <si>
    <t>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t>
  </si>
  <si>
    <t>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</si>
  <si>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t>
  </si>
  <si>
    <t>Electronic editions of over 700 valuable local, regional, and national U.S. newspapers and magazines. Each paper provides unique coverage of local and regional news, including companies, politics, sports, industries, cultural activities, and people in the community. Paid ads are excluded.</t>
  </si>
  <si>
    <t>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t>
  </si>
  <si>
    <t>Hierarchical thesaurus of nearly 900,000 places. The TGN provides vernacular and English names of places, variant names in other languages, and whenever possible, historical names. The record for a place may also contain geographical coordinates, dates, and notes.</t>
  </si>
  <si>
    <t>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t>
  </si>
  <si>
    <t>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t>
  </si>
  <si>
    <t>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t>
  </si>
  <si>
    <t>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t>
  </si>
  <si>
    <t>Science.gov is a gateway to over 50 million pages of authoritative selected science information provided by U.S. government agencies, including research and development results.</t>
  </si>
  <si>
    <t>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t>
  </si>
  <si>
    <t>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t>
  </si>
  <si>
    <t>Thesaurus.com is produced by Lexico Publishing Group, LLC, a provider of language reference products and services on the Internet. The thesaurus that appears on this site is Roget's II: The New Thesaurus.</t>
  </si>
  <si>
    <t>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t>
  </si>
  <si>
    <t>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t>
  </si>
  <si>
    <t>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t>
  </si>
  <si>
    <t>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t>
  </si>
  <si>
    <t>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</si>
  <si>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</si>
  <si>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t>
  </si>
  <si>
    <t>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t>
  </si>
  <si>
    <t>Journals published by the American Physical Society, including Physical Review and Physical Review Letters.</t>
  </si>
  <si>
    <t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t>
  </si>
  <si>
    <t xml:space="preserve">A comprehensive natural and applied science research collection. Includes databases collections for the following subject areas: Agriculture, Aquatic, Atmospheric, Biology, Earth,, Environmental Science, Materials,  Aerospace, Engineering, Computer Science. </t>
  </si>
  <si>
    <t>subjects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</si>
</sst>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
    <xf numFmtId="0" fontId="0" fillId="0" borderId="0" xfId="0"/>
    <xf numFmtId="164" fontId="0" fillId="0" borderId="0" xfId="0" applyNumberFormat="1" applyAlignment="1"/>
    <xf numFmtId="0" fontId="0" fillId="0" borderId="0" xfId="0" applyAlignment="1"/>
    <xf numFmtId="49" fontId="0" fillId="0" borderId="0" xfId="0" applyNumberFormat="1" applyAlignment="1"/>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61"/>
  <sheetViews>
    <sheetView workbookViewId="0">
      <selection activeCell="F2" sqref="F2"/>
    </sheetView>
  </sheetViews>
  <sheetFormatPr defaultRowHeight="15" x14ac:dyDescent="0.25"/>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v>3</v>
      </c>
      <c r="B2" t="s">
        <v>17</v>
      </c>
      <c r="C2" t="s">
        <v>18</v>
      </c>
      <c r="D2" t="s">
        <v>19</v>
      </c>
      <c r="E2" t="s">
        <v>20</v>
      </c>
      <c r="F2">
        <v>1</v>
      </c>
      <c r="G2">
        <v>0</v>
      </c>
      <c r="H2" t="s">
        <v>21</v>
      </c>
      <c r="I2">
        <v>1</v>
      </c>
      <c r="K2">
        <v>0</v>
      </c>
      <c r="N2" t="s">
        <v>22</v>
      </c>
      <c r="O2" t="s">
        <v>23</v>
      </c>
      <c r="P2" t="s">
        <v>24</v>
      </c>
      <c r="Q2" t="s">
        <v>24</v>
      </c>
    </row>
    <row r="3" spans="1:17" x14ac:dyDescent="0.25">
      <c r="A3">
        <v>4</v>
      </c>
      <c r="B3" t="s">
        <v>25</v>
      </c>
      <c r="D3" t="s">
        <v>26</v>
      </c>
      <c r="E3" t="s">
        <v>27</v>
      </c>
      <c r="F3">
        <v>1</v>
      </c>
      <c r="G3">
        <v>1</v>
      </c>
      <c r="H3" t="s">
        <v>28</v>
      </c>
      <c r="I3">
        <v>1</v>
      </c>
      <c r="K3">
        <v>1</v>
      </c>
      <c r="N3" t="s">
        <v>29</v>
      </c>
      <c r="O3" t="s">
        <v>30</v>
      </c>
      <c r="P3" t="s">
        <v>24</v>
      </c>
      <c r="Q3" t="s">
        <v>24</v>
      </c>
    </row>
    <row r="4" spans="1:17" x14ac:dyDescent="0.25">
      <c r="A4">
        <v>5</v>
      </c>
      <c r="B4" t="s">
        <v>31</v>
      </c>
      <c r="C4" t="s">
        <v>32</v>
      </c>
      <c r="D4" t="s">
        <v>33</v>
      </c>
      <c r="E4" t="s">
        <v>20</v>
      </c>
      <c r="F4">
        <v>1</v>
      </c>
      <c r="G4">
        <v>0</v>
      </c>
      <c r="H4" t="s">
        <v>34</v>
      </c>
      <c r="I4">
        <v>1</v>
      </c>
      <c r="K4">
        <v>0</v>
      </c>
      <c r="N4" t="s">
        <v>35</v>
      </c>
      <c r="O4" t="s">
        <v>36</v>
      </c>
      <c r="P4" t="s">
        <v>24</v>
      </c>
      <c r="Q4" t="s">
        <v>24</v>
      </c>
    </row>
    <row r="5" spans="1:17" x14ac:dyDescent="0.25">
      <c r="A5">
        <v>6</v>
      </c>
      <c r="B5" t="s">
        <v>37</v>
      </c>
      <c r="D5" t="s">
        <v>38</v>
      </c>
      <c r="E5" t="s">
        <v>39</v>
      </c>
      <c r="F5">
        <v>1</v>
      </c>
      <c r="G5">
        <v>0</v>
      </c>
      <c r="H5" t="s">
        <v>37</v>
      </c>
      <c r="I5">
        <v>0</v>
      </c>
      <c r="K5">
        <v>0</v>
      </c>
      <c r="N5" t="s">
        <v>40</v>
      </c>
      <c r="O5" t="s">
        <v>41</v>
      </c>
      <c r="P5" t="s">
        <v>24</v>
      </c>
      <c r="Q5" t="s">
        <v>24</v>
      </c>
    </row>
    <row r="6" spans="1:17" x14ac:dyDescent="0.25">
      <c r="A6">
        <v>7</v>
      </c>
      <c r="B6" t="s">
        <v>42</v>
      </c>
      <c r="C6" t="s">
        <v>43</v>
      </c>
      <c r="D6" t="s">
        <v>44</v>
      </c>
      <c r="E6" t="s">
        <v>20</v>
      </c>
      <c r="F6">
        <v>1</v>
      </c>
      <c r="G6">
        <v>0</v>
      </c>
      <c r="H6" t="s">
        <v>45</v>
      </c>
      <c r="I6">
        <v>1</v>
      </c>
      <c r="K6">
        <v>0</v>
      </c>
      <c r="N6" t="s">
        <v>46</v>
      </c>
      <c r="O6" t="s">
        <v>47</v>
      </c>
      <c r="P6" t="s">
        <v>24</v>
      </c>
      <c r="Q6" t="s">
        <v>24</v>
      </c>
    </row>
    <row r="7" spans="1:17" x14ac:dyDescent="0.25">
      <c r="A7">
        <v>8</v>
      </c>
      <c r="B7" t="s">
        <v>48</v>
      </c>
      <c r="C7" t="s">
        <v>49</v>
      </c>
      <c r="D7" t="s">
        <v>50</v>
      </c>
      <c r="E7" t="s">
        <v>27</v>
      </c>
      <c r="F7">
        <v>1</v>
      </c>
      <c r="G7">
        <v>0</v>
      </c>
      <c r="H7" t="s">
        <v>51</v>
      </c>
      <c r="I7">
        <v>0</v>
      </c>
      <c r="K7">
        <v>0</v>
      </c>
      <c r="N7" t="s">
        <v>52</v>
      </c>
      <c r="O7" t="s">
        <v>53</v>
      </c>
      <c r="P7" t="s">
        <v>54</v>
      </c>
      <c r="Q7" t="s">
        <v>24</v>
      </c>
    </row>
    <row r="8" spans="1:17" x14ac:dyDescent="0.25">
      <c r="A8">
        <v>9</v>
      </c>
      <c r="B8" t="s">
        <v>55</v>
      </c>
      <c r="D8" t="s">
        <v>56</v>
      </c>
      <c r="E8" t="s">
        <v>27</v>
      </c>
      <c r="F8">
        <v>0</v>
      </c>
      <c r="G8">
        <v>0</v>
      </c>
      <c r="H8" t="s">
        <v>57</v>
      </c>
      <c r="I8">
        <v>1</v>
      </c>
      <c r="K8">
        <v>1</v>
      </c>
      <c r="M8" t="s">
        <v>58</v>
      </c>
      <c r="N8" t="s">
        <v>59</v>
      </c>
      <c r="O8" t="s">
        <v>1138</v>
      </c>
      <c r="P8" t="s">
        <v>24</v>
      </c>
      <c r="Q8" t="s">
        <v>24</v>
      </c>
    </row>
    <row r="9" spans="1:17" x14ac:dyDescent="0.25">
      <c r="A9">
        <v>10</v>
      </c>
      <c r="B9" t="s">
        <v>60</v>
      </c>
      <c r="D9" t="s">
        <v>61</v>
      </c>
      <c r="E9" t="s">
        <v>27</v>
      </c>
      <c r="F9">
        <v>0</v>
      </c>
      <c r="G9">
        <v>0</v>
      </c>
      <c r="H9" t="s">
        <v>57</v>
      </c>
      <c r="I9">
        <v>1</v>
      </c>
      <c r="K9">
        <v>1</v>
      </c>
      <c r="M9" t="s">
        <v>62</v>
      </c>
      <c r="N9" t="s">
        <v>63</v>
      </c>
      <c r="O9" t="s">
        <v>64</v>
      </c>
      <c r="P9" t="s">
        <v>24</v>
      </c>
      <c r="Q9" t="s">
        <v>24</v>
      </c>
    </row>
    <row r="10" spans="1:17" x14ac:dyDescent="0.25">
      <c r="A10">
        <v>11</v>
      </c>
      <c r="B10" t="s">
        <v>65</v>
      </c>
      <c r="C10" t="s">
        <v>66</v>
      </c>
      <c r="D10" t="s">
        <v>67</v>
      </c>
      <c r="E10" t="s">
        <v>20</v>
      </c>
      <c r="F10">
        <v>1</v>
      </c>
      <c r="G10">
        <v>0</v>
      </c>
      <c r="H10" t="s">
        <v>66</v>
      </c>
      <c r="I10">
        <v>0</v>
      </c>
      <c r="K10">
        <v>0</v>
      </c>
      <c r="N10" t="s">
        <v>68</v>
      </c>
      <c r="O10" t="s">
        <v>69</v>
      </c>
      <c r="P10" t="s">
        <v>24</v>
      </c>
      <c r="Q10" t="s">
        <v>24</v>
      </c>
    </row>
    <row r="11" spans="1:17" x14ac:dyDescent="0.25">
      <c r="A11">
        <v>12</v>
      </c>
      <c r="B11" t="s">
        <v>70</v>
      </c>
      <c r="D11" t="s">
        <v>71</v>
      </c>
      <c r="E11" t="s">
        <v>27</v>
      </c>
      <c r="F11">
        <v>0</v>
      </c>
      <c r="G11">
        <v>0</v>
      </c>
      <c r="H11" t="s">
        <v>72</v>
      </c>
      <c r="I11">
        <v>1</v>
      </c>
      <c r="K11">
        <v>1</v>
      </c>
      <c r="L11" t="s">
        <v>73</v>
      </c>
      <c r="M11" t="s">
        <v>74</v>
      </c>
      <c r="N11" t="s">
        <v>75</v>
      </c>
      <c r="O11" t="s">
        <v>1139</v>
      </c>
      <c r="P11" t="s">
        <v>24</v>
      </c>
      <c r="Q11" t="s">
        <v>24</v>
      </c>
    </row>
    <row r="12" spans="1:17" x14ac:dyDescent="0.25">
      <c r="A12">
        <v>13</v>
      </c>
      <c r="B12" t="s">
        <v>76</v>
      </c>
      <c r="D12" t="s">
        <v>77</v>
      </c>
      <c r="E12" t="s">
        <v>27</v>
      </c>
      <c r="F12">
        <v>0</v>
      </c>
      <c r="G12">
        <v>0</v>
      </c>
      <c r="H12" t="s">
        <v>57</v>
      </c>
      <c r="I12">
        <v>1</v>
      </c>
      <c r="K12">
        <v>1</v>
      </c>
      <c r="M12" t="s">
        <v>78</v>
      </c>
      <c r="N12" t="s">
        <v>79</v>
      </c>
      <c r="O12" t="s">
        <v>1140</v>
      </c>
      <c r="P12" t="s">
        <v>24</v>
      </c>
      <c r="Q12" t="s">
        <v>24</v>
      </c>
    </row>
    <row r="13" spans="1:17" x14ac:dyDescent="0.25">
      <c r="A13">
        <v>14</v>
      </c>
      <c r="B13" t="s">
        <v>80</v>
      </c>
      <c r="D13" t="s">
        <v>19</v>
      </c>
      <c r="E13" t="s">
        <v>27</v>
      </c>
      <c r="F13">
        <v>1</v>
      </c>
      <c r="G13">
        <v>0</v>
      </c>
      <c r="H13" t="s">
        <v>21</v>
      </c>
      <c r="I13">
        <v>1</v>
      </c>
      <c r="K13">
        <v>0</v>
      </c>
      <c r="N13" t="s">
        <v>81</v>
      </c>
      <c r="O13" t="s">
        <v>82</v>
      </c>
      <c r="P13" t="s">
        <v>24</v>
      </c>
      <c r="Q13" t="s">
        <v>24</v>
      </c>
    </row>
    <row r="14" spans="1:17" x14ac:dyDescent="0.25">
      <c r="A14">
        <v>15</v>
      </c>
      <c r="B14" t="s">
        <v>83</v>
      </c>
      <c r="D14" t="s">
        <v>84</v>
      </c>
      <c r="E14" t="s">
        <v>20</v>
      </c>
      <c r="F14">
        <v>1</v>
      </c>
      <c r="G14">
        <v>0</v>
      </c>
      <c r="H14" t="s">
        <v>83</v>
      </c>
      <c r="I14">
        <v>1</v>
      </c>
      <c r="K14">
        <v>0</v>
      </c>
      <c r="N14" t="s">
        <v>85</v>
      </c>
      <c r="O14" t="s">
        <v>1195</v>
      </c>
      <c r="P14" t="s">
        <v>24</v>
      </c>
      <c r="Q14" t="s">
        <v>24</v>
      </c>
    </row>
    <row r="15" spans="1:17" x14ac:dyDescent="0.25">
      <c r="A15">
        <v>16</v>
      </c>
      <c r="B15" t="s">
        <v>86</v>
      </c>
      <c r="D15" t="s">
        <v>87</v>
      </c>
      <c r="E15" t="s">
        <v>27</v>
      </c>
      <c r="F15">
        <v>0</v>
      </c>
      <c r="G15">
        <v>0</v>
      </c>
      <c r="H15" t="s">
        <v>57</v>
      </c>
      <c r="I15">
        <v>1</v>
      </c>
      <c r="K15">
        <v>1</v>
      </c>
      <c r="M15" t="s">
        <v>74</v>
      </c>
      <c r="N15" t="s">
        <v>88</v>
      </c>
      <c r="O15" t="s">
        <v>1141</v>
      </c>
      <c r="P15" t="s">
        <v>24</v>
      </c>
      <c r="Q15" t="s">
        <v>24</v>
      </c>
    </row>
    <row r="16" spans="1:17" x14ac:dyDescent="0.25">
      <c r="A16">
        <v>17</v>
      </c>
      <c r="B16" t="s">
        <v>89</v>
      </c>
      <c r="C16" t="s">
        <v>90</v>
      </c>
      <c r="D16" t="s">
        <v>91</v>
      </c>
      <c r="E16" t="s">
        <v>27</v>
      </c>
      <c r="F16">
        <v>0</v>
      </c>
      <c r="G16">
        <v>0</v>
      </c>
      <c r="H16" t="s">
        <v>57</v>
      </c>
      <c r="I16">
        <v>1</v>
      </c>
      <c r="K16">
        <v>1</v>
      </c>
      <c r="M16" t="s">
        <v>92</v>
      </c>
      <c r="N16" t="s">
        <v>93</v>
      </c>
      <c r="O16" t="s">
        <v>1142</v>
      </c>
      <c r="P16" t="s">
        <v>24</v>
      </c>
      <c r="Q16" t="s">
        <v>24</v>
      </c>
    </row>
    <row r="17" spans="1:17" x14ac:dyDescent="0.25">
      <c r="A17">
        <v>18</v>
      </c>
      <c r="B17" t="s">
        <v>94</v>
      </c>
      <c r="D17" t="s">
        <v>95</v>
      </c>
      <c r="E17" t="s">
        <v>27</v>
      </c>
      <c r="F17">
        <v>1</v>
      </c>
      <c r="G17">
        <v>0</v>
      </c>
      <c r="H17" t="s">
        <v>96</v>
      </c>
      <c r="I17">
        <v>1</v>
      </c>
      <c r="K17">
        <v>1</v>
      </c>
      <c r="N17" t="s">
        <v>97</v>
      </c>
      <c r="O17" t="s">
        <v>98</v>
      </c>
      <c r="P17" t="s">
        <v>24</v>
      </c>
      <c r="Q17" t="s">
        <v>24</v>
      </c>
    </row>
    <row r="18" spans="1:17" x14ac:dyDescent="0.25">
      <c r="A18">
        <v>19</v>
      </c>
      <c r="B18" t="s">
        <v>99</v>
      </c>
      <c r="D18" t="s">
        <v>100</v>
      </c>
      <c r="E18" t="s">
        <v>27</v>
      </c>
      <c r="F18">
        <v>1</v>
      </c>
      <c r="G18">
        <v>0</v>
      </c>
      <c r="H18" t="s">
        <v>101</v>
      </c>
      <c r="I18">
        <v>0</v>
      </c>
      <c r="K18">
        <v>0</v>
      </c>
      <c r="N18" t="s">
        <v>102</v>
      </c>
      <c r="O18" t="s">
        <v>103</v>
      </c>
      <c r="P18" t="s">
        <v>24</v>
      </c>
      <c r="Q18" t="s">
        <v>24</v>
      </c>
    </row>
    <row r="19" spans="1:17" x14ac:dyDescent="0.25">
      <c r="A19">
        <v>20</v>
      </c>
      <c r="B19" t="s">
        <v>104</v>
      </c>
      <c r="C19" t="s">
        <v>105</v>
      </c>
      <c r="D19" t="s">
        <v>106</v>
      </c>
      <c r="E19" t="s">
        <v>20</v>
      </c>
      <c r="F19">
        <v>1</v>
      </c>
      <c r="G19">
        <v>0</v>
      </c>
      <c r="H19" t="s">
        <v>105</v>
      </c>
      <c r="I19">
        <v>1</v>
      </c>
      <c r="K19">
        <v>0</v>
      </c>
      <c r="N19" t="s">
        <v>107</v>
      </c>
      <c r="O19" t="s">
        <v>108</v>
      </c>
      <c r="P19" t="s">
        <v>24</v>
      </c>
      <c r="Q19" t="s">
        <v>24</v>
      </c>
    </row>
    <row r="20" spans="1:17" x14ac:dyDescent="0.25">
      <c r="A20">
        <v>21</v>
      </c>
      <c r="B20" t="s">
        <v>109</v>
      </c>
      <c r="D20" t="s">
        <v>110</v>
      </c>
      <c r="E20" t="s">
        <v>27</v>
      </c>
      <c r="F20">
        <v>0</v>
      </c>
      <c r="G20">
        <v>0</v>
      </c>
      <c r="H20" t="s">
        <v>57</v>
      </c>
      <c r="I20">
        <v>1</v>
      </c>
      <c r="K20">
        <v>1</v>
      </c>
      <c r="M20" t="s">
        <v>74</v>
      </c>
      <c r="N20" t="s">
        <v>111</v>
      </c>
      <c r="O20" t="s">
        <v>1143</v>
      </c>
      <c r="P20" t="s">
        <v>24</v>
      </c>
      <c r="Q20" t="s">
        <v>24</v>
      </c>
    </row>
    <row r="21" spans="1:17" x14ac:dyDescent="0.25">
      <c r="A21">
        <v>22</v>
      </c>
      <c r="B21" t="s">
        <v>112</v>
      </c>
      <c r="D21" t="s">
        <v>113</v>
      </c>
      <c r="E21" t="s">
        <v>27</v>
      </c>
      <c r="F21">
        <v>0</v>
      </c>
      <c r="G21">
        <v>0</v>
      </c>
      <c r="H21" t="s">
        <v>57</v>
      </c>
      <c r="I21">
        <v>1</v>
      </c>
      <c r="K21">
        <v>1</v>
      </c>
      <c r="M21" t="s">
        <v>114</v>
      </c>
      <c r="N21" t="s">
        <v>115</v>
      </c>
      <c r="O21" t="s">
        <v>1144</v>
      </c>
      <c r="P21" t="s">
        <v>24</v>
      </c>
      <c r="Q21" t="s">
        <v>24</v>
      </c>
    </row>
    <row r="22" spans="1:17" x14ac:dyDescent="0.25">
      <c r="A22">
        <v>23</v>
      </c>
      <c r="B22" t="s">
        <v>116</v>
      </c>
      <c r="D22" t="s">
        <v>117</v>
      </c>
      <c r="E22" t="s">
        <v>27</v>
      </c>
      <c r="F22">
        <v>0</v>
      </c>
      <c r="G22">
        <v>0</v>
      </c>
      <c r="H22" t="s">
        <v>57</v>
      </c>
      <c r="I22">
        <v>1</v>
      </c>
      <c r="K22">
        <v>1</v>
      </c>
      <c r="M22" t="s">
        <v>74</v>
      </c>
      <c r="N22" t="s">
        <v>118</v>
      </c>
      <c r="O22" t="s">
        <v>1145</v>
      </c>
      <c r="P22" t="s">
        <v>24</v>
      </c>
      <c r="Q22" t="s">
        <v>24</v>
      </c>
    </row>
    <row r="23" spans="1:17" x14ac:dyDescent="0.25">
      <c r="A23">
        <v>24</v>
      </c>
      <c r="B23" t="s">
        <v>119</v>
      </c>
      <c r="D23" t="s">
        <v>120</v>
      </c>
      <c r="E23" t="s">
        <v>27</v>
      </c>
      <c r="F23">
        <v>0</v>
      </c>
      <c r="G23">
        <v>0</v>
      </c>
      <c r="H23" t="s">
        <v>57</v>
      </c>
      <c r="I23">
        <v>1</v>
      </c>
      <c r="K23">
        <v>1</v>
      </c>
      <c r="M23" t="s">
        <v>74</v>
      </c>
      <c r="N23" t="s">
        <v>121</v>
      </c>
      <c r="O23" t="s">
        <v>122</v>
      </c>
      <c r="P23" t="s">
        <v>24</v>
      </c>
      <c r="Q23" t="s">
        <v>24</v>
      </c>
    </row>
    <row r="24" spans="1:17" x14ac:dyDescent="0.25">
      <c r="A24">
        <v>25</v>
      </c>
      <c r="B24" t="s">
        <v>123</v>
      </c>
      <c r="D24" t="s">
        <v>124</v>
      </c>
      <c r="E24" t="s">
        <v>39</v>
      </c>
      <c r="F24">
        <v>0</v>
      </c>
      <c r="G24">
        <v>0</v>
      </c>
      <c r="H24" t="s">
        <v>125</v>
      </c>
      <c r="I24">
        <v>1</v>
      </c>
      <c r="K24">
        <v>0</v>
      </c>
      <c r="N24" t="s">
        <v>126</v>
      </c>
      <c r="O24" t="s">
        <v>127</v>
      </c>
      <c r="P24" t="s">
        <v>24</v>
      </c>
      <c r="Q24" t="s">
        <v>24</v>
      </c>
    </row>
    <row r="25" spans="1:17" x14ac:dyDescent="0.25">
      <c r="A25">
        <v>26</v>
      </c>
      <c r="B25" t="s">
        <v>128</v>
      </c>
      <c r="D25" t="s">
        <v>129</v>
      </c>
      <c r="E25" t="s">
        <v>39</v>
      </c>
      <c r="F25">
        <v>0</v>
      </c>
      <c r="G25">
        <v>0</v>
      </c>
      <c r="H25" t="s">
        <v>125</v>
      </c>
      <c r="I25">
        <v>1</v>
      </c>
      <c r="K25">
        <v>0</v>
      </c>
      <c r="N25" t="s">
        <v>130</v>
      </c>
      <c r="O25" t="s">
        <v>131</v>
      </c>
      <c r="P25" t="s">
        <v>24</v>
      </c>
      <c r="Q25" t="s">
        <v>24</v>
      </c>
    </row>
    <row r="26" spans="1:17" x14ac:dyDescent="0.25">
      <c r="A26">
        <v>27</v>
      </c>
      <c r="B26" t="s">
        <v>132</v>
      </c>
      <c r="C26" t="s">
        <v>133</v>
      </c>
      <c r="D26" t="s">
        <v>134</v>
      </c>
      <c r="E26" t="s">
        <v>20</v>
      </c>
      <c r="F26">
        <v>1</v>
      </c>
      <c r="G26">
        <v>0</v>
      </c>
      <c r="H26" t="s">
        <v>21</v>
      </c>
      <c r="I26">
        <v>1</v>
      </c>
      <c r="K26">
        <v>0</v>
      </c>
      <c r="N26" t="s">
        <v>135</v>
      </c>
      <c r="O26" t="s">
        <v>136</v>
      </c>
      <c r="P26" t="s">
        <v>24</v>
      </c>
      <c r="Q26" t="s">
        <v>24</v>
      </c>
    </row>
    <row r="27" spans="1:17" x14ac:dyDescent="0.25">
      <c r="A27">
        <v>28</v>
      </c>
      <c r="B27" t="s">
        <v>137</v>
      </c>
      <c r="D27" t="s">
        <v>138</v>
      </c>
      <c r="E27" t="s">
        <v>27</v>
      </c>
      <c r="F27">
        <v>1</v>
      </c>
      <c r="G27">
        <v>1</v>
      </c>
      <c r="H27" t="s">
        <v>139</v>
      </c>
      <c r="I27">
        <v>1</v>
      </c>
      <c r="K27">
        <v>1</v>
      </c>
      <c r="N27" t="s">
        <v>140</v>
      </c>
      <c r="O27" t="s">
        <v>141</v>
      </c>
      <c r="P27" t="s">
        <v>24</v>
      </c>
      <c r="Q27" t="s">
        <v>24</v>
      </c>
    </row>
    <row r="28" spans="1:17" x14ac:dyDescent="0.25">
      <c r="A28">
        <v>29</v>
      </c>
      <c r="B28" t="s">
        <v>142</v>
      </c>
      <c r="D28" t="s">
        <v>143</v>
      </c>
      <c r="E28" t="s">
        <v>27</v>
      </c>
      <c r="F28">
        <v>0</v>
      </c>
      <c r="G28">
        <v>0</v>
      </c>
      <c r="H28" t="s">
        <v>57</v>
      </c>
      <c r="I28">
        <v>1</v>
      </c>
      <c r="K28">
        <v>1</v>
      </c>
      <c r="M28" t="s">
        <v>144</v>
      </c>
      <c r="N28" t="s">
        <v>145</v>
      </c>
      <c r="O28" t="s">
        <v>146</v>
      </c>
      <c r="P28" t="s">
        <v>24</v>
      </c>
      <c r="Q28" t="s">
        <v>24</v>
      </c>
    </row>
    <row r="29" spans="1:17" x14ac:dyDescent="0.25">
      <c r="A29">
        <v>422</v>
      </c>
      <c r="B29" t="s">
        <v>147</v>
      </c>
      <c r="C29" t="s">
        <v>24</v>
      </c>
      <c r="D29" t="s">
        <v>148</v>
      </c>
      <c r="E29" t="s">
        <v>39</v>
      </c>
      <c r="F29">
        <v>0</v>
      </c>
      <c r="G29">
        <v>0</v>
      </c>
      <c r="H29" t="s">
        <v>149</v>
      </c>
      <c r="I29">
        <v>1</v>
      </c>
      <c r="J29" t="s">
        <v>150</v>
      </c>
      <c r="K29">
        <v>0</v>
      </c>
      <c r="L29" t="s">
        <v>24</v>
      </c>
      <c r="M29" t="s">
        <v>24</v>
      </c>
      <c r="N29" t="s">
        <v>151</v>
      </c>
      <c r="O29" t="s">
        <v>152</v>
      </c>
      <c r="P29" t="s">
        <v>24</v>
      </c>
      <c r="Q29" t="s">
        <v>24</v>
      </c>
    </row>
    <row r="30" spans="1:17" x14ac:dyDescent="0.25">
      <c r="A30">
        <v>31</v>
      </c>
      <c r="B30" t="s">
        <v>153</v>
      </c>
      <c r="D30" t="s">
        <v>154</v>
      </c>
      <c r="E30" t="s">
        <v>27</v>
      </c>
      <c r="F30">
        <v>1</v>
      </c>
      <c r="G30">
        <v>0</v>
      </c>
      <c r="H30" t="s">
        <v>28</v>
      </c>
      <c r="I30">
        <v>1</v>
      </c>
      <c r="K30">
        <v>1</v>
      </c>
      <c r="N30" t="s">
        <v>155</v>
      </c>
      <c r="O30" t="s">
        <v>1146</v>
      </c>
      <c r="P30" t="s">
        <v>24</v>
      </c>
      <c r="Q30" t="s">
        <v>24</v>
      </c>
    </row>
    <row r="31" spans="1:17" x14ac:dyDescent="0.25">
      <c r="A31">
        <v>32</v>
      </c>
      <c r="B31" t="s">
        <v>74</v>
      </c>
      <c r="D31" t="s">
        <v>156</v>
      </c>
      <c r="E31" t="s">
        <v>27</v>
      </c>
      <c r="F31">
        <v>1</v>
      </c>
      <c r="G31">
        <v>0</v>
      </c>
      <c r="H31" t="s">
        <v>57</v>
      </c>
      <c r="I31">
        <v>1</v>
      </c>
      <c r="K31">
        <v>1</v>
      </c>
      <c r="L31" t="s">
        <v>157</v>
      </c>
      <c r="N31" t="s">
        <v>158</v>
      </c>
      <c r="O31" t="s">
        <v>1147</v>
      </c>
      <c r="P31" t="s">
        <v>24</v>
      </c>
      <c r="Q31" t="s">
        <v>24</v>
      </c>
    </row>
    <row r="32" spans="1:17" x14ac:dyDescent="0.25">
      <c r="A32">
        <v>33</v>
      </c>
      <c r="B32" t="s">
        <v>159</v>
      </c>
      <c r="D32" t="s">
        <v>160</v>
      </c>
      <c r="E32" t="s">
        <v>27</v>
      </c>
      <c r="F32">
        <v>0</v>
      </c>
      <c r="G32">
        <v>0</v>
      </c>
      <c r="H32" t="s">
        <v>57</v>
      </c>
      <c r="I32">
        <v>1</v>
      </c>
      <c r="K32">
        <v>1</v>
      </c>
      <c r="N32" t="s">
        <v>161</v>
      </c>
      <c r="O32" t="s">
        <v>1148</v>
      </c>
      <c r="P32" t="s">
        <v>24</v>
      </c>
      <c r="Q32" t="s">
        <v>24</v>
      </c>
    </row>
    <row r="33" spans="1:17" x14ac:dyDescent="0.25">
      <c r="A33">
        <v>34</v>
      </c>
      <c r="B33" t="s">
        <v>162</v>
      </c>
      <c r="D33" t="s">
        <v>163</v>
      </c>
      <c r="E33" t="s">
        <v>27</v>
      </c>
      <c r="F33">
        <v>0</v>
      </c>
      <c r="G33">
        <v>0</v>
      </c>
      <c r="H33" t="s">
        <v>57</v>
      </c>
      <c r="I33">
        <v>1</v>
      </c>
      <c r="K33">
        <v>1</v>
      </c>
      <c r="M33" t="s">
        <v>164</v>
      </c>
      <c r="N33" t="s">
        <v>165</v>
      </c>
      <c r="O33" t="s">
        <v>1149</v>
      </c>
      <c r="P33" t="s">
        <v>24</v>
      </c>
      <c r="Q33" t="s">
        <v>24</v>
      </c>
    </row>
    <row r="34" spans="1:17" x14ac:dyDescent="0.25">
      <c r="A34">
        <v>35</v>
      </c>
      <c r="B34" t="s">
        <v>166</v>
      </c>
      <c r="D34" t="s">
        <v>167</v>
      </c>
      <c r="E34" t="s">
        <v>20</v>
      </c>
      <c r="F34">
        <v>0</v>
      </c>
      <c r="G34">
        <v>0</v>
      </c>
      <c r="H34" t="s">
        <v>166</v>
      </c>
      <c r="I34">
        <v>1</v>
      </c>
      <c r="J34" t="s">
        <v>168</v>
      </c>
      <c r="K34">
        <v>0</v>
      </c>
      <c r="N34" t="s">
        <v>169</v>
      </c>
      <c r="O34" t="s">
        <v>169</v>
      </c>
      <c r="P34" t="s">
        <v>24</v>
      </c>
      <c r="Q34" t="s">
        <v>24</v>
      </c>
    </row>
    <row r="35" spans="1:17" x14ac:dyDescent="0.25">
      <c r="A35">
        <v>36</v>
      </c>
      <c r="B35" t="s">
        <v>170</v>
      </c>
      <c r="D35" t="s">
        <v>171</v>
      </c>
      <c r="E35" t="s">
        <v>172</v>
      </c>
      <c r="F35">
        <v>1</v>
      </c>
      <c r="G35">
        <v>1</v>
      </c>
      <c r="H35" t="s">
        <v>170</v>
      </c>
      <c r="I35">
        <v>1</v>
      </c>
      <c r="K35">
        <v>0</v>
      </c>
      <c r="N35" t="s">
        <v>173</v>
      </c>
      <c r="O35" t="s">
        <v>174</v>
      </c>
      <c r="P35" t="s">
        <v>24</v>
      </c>
      <c r="Q35" t="s">
        <v>24</v>
      </c>
    </row>
    <row r="36" spans="1:17" x14ac:dyDescent="0.25">
      <c r="A36">
        <v>37</v>
      </c>
      <c r="B36" t="s">
        <v>175</v>
      </c>
      <c r="D36" t="s">
        <v>176</v>
      </c>
      <c r="E36" t="s">
        <v>27</v>
      </c>
      <c r="F36">
        <v>0</v>
      </c>
      <c r="G36">
        <v>0</v>
      </c>
      <c r="H36" t="s">
        <v>175</v>
      </c>
      <c r="I36">
        <v>1</v>
      </c>
      <c r="K36">
        <v>0</v>
      </c>
      <c r="N36" t="s">
        <v>177</v>
      </c>
      <c r="O36" t="s">
        <v>178</v>
      </c>
      <c r="P36" t="s">
        <v>24</v>
      </c>
      <c r="Q36" t="s">
        <v>24</v>
      </c>
    </row>
    <row r="37" spans="1:17" x14ac:dyDescent="0.25">
      <c r="A37">
        <v>38</v>
      </c>
      <c r="B37" t="s">
        <v>179</v>
      </c>
      <c r="D37" t="s">
        <v>180</v>
      </c>
      <c r="E37" t="s">
        <v>27</v>
      </c>
      <c r="F37">
        <v>1</v>
      </c>
      <c r="G37">
        <v>1</v>
      </c>
      <c r="H37" t="s">
        <v>28</v>
      </c>
      <c r="I37">
        <v>1</v>
      </c>
      <c r="K37">
        <v>1</v>
      </c>
      <c r="N37" t="s">
        <v>181</v>
      </c>
      <c r="O37" t="s">
        <v>182</v>
      </c>
      <c r="P37" t="s">
        <v>24</v>
      </c>
      <c r="Q37" t="s">
        <v>24</v>
      </c>
    </row>
    <row r="38" spans="1:17" x14ac:dyDescent="0.25">
      <c r="A38">
        <v>39</v>
      </c>
      <c r="B38" t="s">
        <v>183</v>
      </c>
      <c r="D38" t="s">
        <v>184</v>
      </c>
      <c r="E38" t="s">
        <v>27</v>
      </c>
      <c r="F38">
        <v>0</v>
      </c>
      <c r="G38">
        <v>0</v>
      </c>
      <c r="H38" t="s">
        <v>57</v>
      </c>
      <c r="I38">
        <v>1</v>
      </c>
      <c r="K38">
        <v>1</v>
      </c>
      <c r="M38" t="s">
        <v>74</v>
      </c>
      <c r="N38" t="s">
        <v>185</v>
      </c>
      <c r="O38" t="s">
        <v>1150</v>
      </c>
      <c r="P38" t="s">
        <v>24</v>
      </c>
      <c r="Q38" t="s">
        <v>24</v>
      </c>
    </row>
    <row r="39" spans="1:17" x14ac:dyDescent="0.25">
      <c r="A39">
        <v>40</v>
      </c>
      <c r="B39" t="s">
        <v>186</v>
      </c>
      <c r="D39" t="s">
        <v>187</v>
      </c>
      <c r="E39" t="s">
        <v>20</v>
      </c>
      <c r="F39">
        <v>1</v>
      </c>
      <c r="G39">
        <v>0</v>
      </c>
      <c r="H39" t="s">
        <v>188</v>
      </c>
      <c r="I39">
        <v>1</v>
      </c>
      <c r="K39">
        <v>0</v>
      </c>
      <c r="N39" t="s">
        <v>189</v>
      </c>
      <c r="O39" t="s">
        <v>189</v>
      </c>
      <c r="P39" t="s">
        <v>24</v>
      </c>
      <c r="Q39" t="s">
        <v>24</v>
      </c>
    </row>
    <row r="40" spans="1:17" x14ac:dyDescent="0.25">
      <c r="A40">
        <v>41</v>
      </c>
      <c r="B40" t="s">
        <v>190</v>
      </c>
      <c r="D40" t="s">
        <v>191</v>
      </c>
      <c r="E40" t="s">
        <v>192</v>
      </c>
      <c r="F40">
        <v>1</v>
      </c>
      <c r="G40">
        <v>0</v>
      </c>
      <c r="H40" t="s">
        <v>193</v>
      </c>
      <c r="I40">
        <v>0</v>
      </c>
      <c r="K40">
        <v>0</v>
      </c>
      <c r="N40" t="s">
        <v>194</v>
      </c>
      <c r="O40" t="s">
        <v>195</v>
      </c>
      <c r="P40" t="s">
        <v>24</v>
      </c>
      <c r="Q40" t="s">
        <v>24</v>
      </c>
    </row>
    <row r="41" spans="1:17" x14ac:dyDescent="0.25">
      <c r="A41">
        <v>42</v>
      </c>
      <c r="B41" t="s">
        <v>196</v>
      </c>
      <c r="D41" t="s">
        <v>197</v>
      </c>
      <c r="E41" t="s">
        <v>27</v>
      </c>
      <c r="F41">
        <v>0</v>
      </c>
      <c r="G41">
        <v>0</v>
      </c>
      <c r="H41" t="s">
        <v>57</v>
      </c>
      <c r="I41">
        <v>1</v>
      </c>
      <c r="K41">
        <v>1</v>
      </c>
      <c r="M41" t="s">
        <v>78</v>
      </c>
      <c r="N41" t="s">
        <v>198</v>
      </c>
      <c r="O41" t="s">
        <v>1151</v>
      </c>
      <c r="P41" t="s">
        <v>24</v>
      </c>
      <c r="Q41" t="s">
        <v>24</v>
      </c>
    </row>
    <row r="42" spans="1:17" x14ac:dyDescent="0.25">
      <c r="A42">
        <v>43</v>
      </c>
      <c r="B42" t="s">
        <v>199</v>
      </c>
      <c r="D42" t="s">
        <v>200</v>
      </c>
      <c r="E42" t="s">
        <v>27</v>
      </c>
      <c r="F42">
        <v>1</v>
      </c>
      <c r="G42">
        <v>0</v>
      </c>
      <c r="H42" t="s">
        <v>201</v>
      </c>
      <c r="I42">
        <v>0</v>
      </c>
      <c r="K42">
        <v>0</v>
      </c>
      <c r="N42" t="s">
        <v>202</v>
      </c>
      <c r="O42" t="s">
        <v>203</v>
      </c>
      <c r="P42" t="s">
        <v>24</v>
      </c>
      <c r="Q42" t="s">
        <v>24</v>
      </c>
    </row>
    <row r="43" spans="1:17" x14ac:dyDescent="0.25">
      <c r="A43">
        <v>44</v>
      </c>
      <c r="B43" t="s">
        <v>204</v>
      </c>
      <c r="D43" t="s">
        <v>205</v>
      </c>
      <c r="E43" t="s">
        <v>27</v>
      </c>
      <c r="F43">
        <v>0</v>
      </c>
      <c r="G43">
        <v>0</v>
      </c>
      <c r="H43" t="s">
        <v>57</v>
      </c>
      <c r="I43">
        <v>1</v>
      </c>
      <c r="K43">
        <v>1</v>
      </c>
      <c r="M43" t="s">
        <v>74</v>
      </c>
      <c r="N43" t="s">
        <v>206</v>
      </c>
      <c r="O43" t="s">
        <v>207</v>
      </c>
      <c r="P43" t="s">
        <v>24</v>
      </c>
      <c r="Q43" t="s">
        <v>24</v>
      </c>
    </row>
    <row r="44" spans="1:17" x14ac:dyDescent="0.25">
      <c r="A44">
        <v>45</v>
      </c>
      <c r="B44" t="s">
        <v>208</v>
      </c>
      <c r="D44" t="s">
        <v>209</v>
      </c>
      <c r="E44" t="s">
        <v>39</v>
      </c>
      <c r="F44">
        <v>1</v>
      </c>
      <c r="G44">
        <v>0</v>
      </c>
      <c r="H44" t="s">
        <v>210</v>
      </c>
      <c r="I44">
        <v>0</v>
      </c>
      <c r="K44">
        <v>0</v>
      </c>
      <c r="N44" t="s">
        <v>211</v>
      </c>
      <c r="O44" t="s">
        <v>212</v>
      </c>
      <c r="P44" t="s">
        <v>24</v>
      </c>
      <c r="Q44" t="s">
        <v>24</v>
      </c>
    </row>
    <row r="45" spans="1:17" x14ac:dyDescent="0.25">
      <c r="A45">
        <v>46</v>
      </c>
      <c r="B45" t="s">
        <v>213</v>
      </c>
      <c r="D45" t="s">
        <v>214</v>
      </c>
      <c r="E45" t="s">
        <v>27</v>
      </c>
      <c r="F45">
        <v>1</v>
      </c>
      <c r="G45">
        <v>0</v>
      </c>
      <c r="H45" t="s">
        <v>215</v>
      </c>
      <c r="I45">
        <v>0</v>
      </c>
      <c r="K45">
        <v>0</v>
      </c>
      <c r="N45" t="s">
        <v>216</v>
      </c>
      <c r="O45" t="s">
        <v>217</v>
      </c>
      <c r="P45" t="s">
        <v>24</v>
      </c>
      <c r="Q45" t="s">
        <v>24</v>
      </c>
    </row>
    <row r="46" spans="1:17" x14ac:dyDescent="0.25">
      <c r="A46">
        <v>47</v>
      </c>
      <c r="B46" t="s">
        <v>218</v>
      </c>
      <c r="D46" t="s">
        <v>219</v>
      </c>
      <c r="E46" t="s">
        <v>27</v>
      </c>
      <c r="F46">
        <v>1</v>
      </c>
      <c r="G46">
        <v>0</v>
      </c>
      <c r="H46" t="s">
        <v>96</v>
      </c>
      <c r="I46">
        <v>1</v>
      </c>
      <c r="K46">
        <v>1</v>
      </c>
      <c r="N46" t="s">
        <v>220</v>
      </c>
      <c r="O46" t="s">
        <v>220</v>
      </c>
      <c r="P46" t="s">
        <v>24</v>
      </c>
      <c r="Q46" t="s">
        <v>24</v>
      </c>
    </row>
    <row r="47" spans="1:17" x14ac:dyDescent="0.25">
      <c r="A47">
        <v>48</v>
      </c>
      <c r="B47" t="s">
        <v>221</v>
      </c>
      <c r="C47" t="s">
        <v>222</v>
      </c>
      <c r="D47" t="s">
        <v>223</v>
      </c>
      <c r="E47" t="s">
        <v>39</v>
      </c>
      <c r="F47">
        <v>1</v>
      </c>
      <c r="G47">
        <v>0</v>
      </c>
      <c r="H47" t="s">
        <v>222</v>
      </c>
      <c r="I47">
        <v>1</v>
      </c>
      <c r="K47">
        <v>0</v>
      </c>
      <c r="N47" t="s">
        <v>224</v>
      </c>
      <c r="O47" t="s">
        <v>225</v>
      </c>
      <c r="P47" t="s">
        <v>24</v>
      </c>
      <c r="Q47" t="s">
        <v>24</v>
      </c>
    </row>
    <row r="48" spans="1:17" x14ac:dyDescent="0.25">
      <c r="A48">
        <v>49</v>
      </c>
      <c r="B48" t="s">
        <v>226</v>
      </c>
      <c r="D48" t="s">
        <v>227</v>
      </c>
      <c r="E48" t="s">
        <v>27</v>
      </c>
      <c r="F48">
        <v>1</v>
      </c>
      <c r="G48">
        <v>0</v>
      </c>
      <c r="H48" t="s">
        <v>28</v>
      </c>
      <c r="I48">
        <v>1</v>
      </c>
      <c r="K48">
        <v>1</v>
      </c>
      <c r="N48" t="s">
        <v>228</v>
      </c>
      <c r="O48" t="s">
        <v>229</v>
      </c>
      <c r="P48" t="s">
        <v>24</v>
      </c>
      <c r="Q48" t="s">
        <v>24</v>
      </c>
    </row>
    <row r="49" spans="1:17" x14ac:dyDescent="0.25">
      <c r="A49">
        <v>50</v>
      </c>
      <c r="B49" t="s">
        <v>230</v>
      </c>
      <c r="D49" t="s">
        <v>231</v>
      </c>
      <c r="E49" t="s">
        <v>27</v>
      </c>
      <c r="F49">
        <v>0</v>
      </c>
      <c r="G49">
        <v>0</v>
      </c>
      <c r="H49" t="s">
        <v>232</v>
      </c>
      <c r="I49">
        <v>1</v>
      </c>
      <c r="K49">
        <v>1</v>
      </c>
      <c r="N49" t="s">
        <v>233</v>
      </c>
      <c r="O49" t="s">
        <v>234</v>
      </c>
      <c r="P49" t="s">
        <v>24</v>
      </c>
      <c r="Q49" t="s">
        <v>24</v>
      </c>
    </row>
    <row r="50" spans="1:17" x14ac:dyDescent="0.25">
      <c r="A50">
        <v>51</v>
      </c>
      <c r="B50" t="s">
        <v>235</v>
      </c>
      <c r="D50" t="s">
        <v>236</v>
      </c>
      <c r="E50" t="s">
        <v>27</v>
      </c>
      <c r="F50">
        <v>0</v>
      </c>
      <c r="G50">
        <v>0</v>
      </c>
      <c r="H50" t="s">
        <v>57</v>
      </c>
      <c r="I50">
        <v>1</v>
      </c>
      <c r="K50">
        <v>1</v>
      </c>
      <c r="M50" t="s">
        <v>58</v>
      </c>
      <c r="N50" t="s">
        <v>237</v>
      </c>
      <c r="O50" t="s">
        <v>1152</v>
      </c>
      <c r="P50" t="s">
        <v>24</v>
      </c>
      <c r="Q50" t="s">
        <v>24</v>
      </c>
    </row>
    <row r="51" spans="1:17" x14ac:dyDescent="0.25">
      <c r="A51">
        <v>52</v>
      </c>
      <c r="B51" t="s">
        <v>238</v>
      </c>
      <c r="D51" t="s">
        <v>239</v>
      </c>
      <c r="E51" t="s">
        <v>27</v>
      </c>
      <c r="F51">
        <v>0</v>
      </c>
      <c r="G51">
        <v>0</v>
      </c>
      <c r="H51" t="s">
        <v>57</v>
      </c>
      <c r="I51">
        <v>1</v>
      </c>
      <c r="K51">
        <v>1</v>
      </c>
      <c r="M51" t="s">
        <v>62</v>
      </c>
      <c r="N51" t="s">
        <v>240</v>
      </c>
      <c r="O51" t="s">
        <v>241</v>
      </c>
      <c r="P51" t="s">
        <v>24</v>
      </c>
      <c r="Q51" t="s">
        <v>24</v>
      </c>
    </row>
    <row r="52" spans="1:17" x14ac:dyDescent="0.25">
      <c r="A52">
        <v>53</v>
      </c>
      <c r="B52" t="s">
        <v>242</v>
      </c>
      <c r="C52" t="s">
        <v>243</v>
      </c>
      <c r="D52" t="s">
        <v>244</v>
      </c>
      <c r="E52" t="s">
        <v>27</v>
      </c>
      <c r="F52">
        <v>1</v>
      </c>
      <c r="G52">
        <v>0</v>
      </c>
      <c r="H52" t="s">
        <v>245</v>
      </c>
      <c r="I52">
        <v>0</v>
      </c>
      <c r="K52">
        <v>0</v>
      </c>
      <c r="N52" t="s">
        <v>246</v>
      </c>
      <c r="O52" t="s">
        <v>247</v>
      </c>
      <c r="P52" t="s">
        <v>24</v>
      </c>
      <c r="Q52" t="s">
        <v>24</v>
      </c>
    </row>
    <row r="53" spans="1:17" x14ac:dyDescent="0.25">
      <c r="A53">
        <v>54</v>
      </c>
      <c r="B53" t="s">
        <v>248</v>
      </c>
      <c r="D53" t="s">
        <v>249</v>
      </c>
      <c r="E53" t="s">
        <v>27</v>
      </c>
      <c r="F53">
        <v>1</v>
      </c>
      <c r="G53">
        <v>0</v>
      </c>
      <c r="H53" t="s">
        <v>57</v>
      </c>
      <c r="I53">
        <v>1</v>
      </c>
      <c r="K53">
        <v>1</v>
      </c>
      <c r="N53" t="s">
        <v>250</v>
      </c>
      <c r="O53" t="s">
        <v>251</v>
      </c>
      <c r="P53" t="s">
        <v>24</v>
      </c>
      <c r="Q53" t="s">
        <v>24</v>
      </c>
    </row>
    <row r="54" spans="1:17" x14ac:dyDescent="0.25">
      <c r="A54">
        <v>55</v>
      </c>
      <c r="B54" t="s">
        <v>252</v>
      </c>
      <c r="D54" t="s">
        <v>253</v>
      </c>
      <c r="E54" t="s">
        <v>192</v>
      </c>
      <c r="F54">
        <v>1</v>
      </c>
      <c r="G54">
        <v>0</v>
      </c>
      <c r="H54" t="s">
        <v>254</v>
      </c>
      <c r="I54">
        <v>0</v>
      </c>
      <c r="K54">
        <v>0</v>
      </c>
      <c r="N54" t="s">
        <v>255</v>
      </c>
      <c r="O54" t="s">
        <v>256</v>
      </c>
      <c r="P54" t="s">
        <v>24</v>
      </c>
      <c r="Q54" t="s">
        <v>24</v>
      </c>
    </row>
    <row r="55" spans="1:17" x14ac:dyDescent="0.25">
      <c r="A55">
        <v>56</v>
      </c>
      <c r="B55" t="s">
        <v>257</v>
      </c>
      <c r="D55" t="s">
        <v>258</v>
      </c>
      <c r="E55" t="s">
        <v>27</v>
      </c>
      <c r="F55">
        <v>0</v>
      </c>
      <c r="G55">
        <v>0</v>
      </c>
      <c r="H55" t="s">
        <v>57</v>
      </c>
      <c r="I55">
        <v>1</v>
      </c>
      <c r="K55">
        <v>1</v>
      </c>
      <c r="M55" t="s">
        <v>78</v>
      </c>
      <c r="N55" t="s">
        <v>259</v>
      </c>
      <c r="O55" t="s">
        <v>1153</v>
      </c>
      <c r="P55" t="s">
        <v>24</v>
      </c>
      <c r="Q55" t="s">
        <v>24</v>
      </c>
    </row>
    <row r="56" spans="1:17" x14ac:dyDescent="0.25">
      <c r="A56">
        <v>57</v>
      </c>
      <c r="B56" t="s">
        <v>260</v>
      </c>
      <c r="D56" t="s">
        <v>261</v>
      </c>
      <c r="E56" t="s">
        <v>27</v>
      </c>
      <c r="F56">
        <v>0</v>
      </c>
      <c r="G56">
        <v>0</v>
      </c>
      <c r="H56" t="s">
        <v>57</v>
      </c>
      <c r="I56">
        <v>1</v>
      </c>
      <c r="K56">
        <v>1</v>
      </c>
      <c r="M56" t="s">
        <v>78</v>
      </c>
      <c r="N56" t="s">
        <v>262</v>
      </c>
      <c r="O56" t="s">
        <v>1154</v>
      </c>
      <c r="P56" t="s">
        <v>24</v>
      </c>
      <c r="Q56" t="s">
        <v>24</v>
      </c>
    </row>
    <row r="57" spans="1:17" x14ac:dyDescent="0.25">
      <c r="A57">
        <v>58</v>
      </c>
      <c r="B57" t="s">
        <v>263</v>
      </c>
      <c r="D57" t="s">
        <v>264</v>
      </c>
      <c r="E57" t="s">
        <v>39</v>
      </c>
      <c r="F57">
        <v>1</v>
      </c>
      <c r="G57">
        <v>0</v>
      </c>
      <c r="H57" t="s">
        <v>265</v>
      </c>
      <c r="I57">
        <v>0</v>
      </c>
      <c r="K57">
        <v>0</v>
      </c>
      <c r="N57" t="s">
        <v>266</v>
      </c>
      <c r="O57" t="s">
        <v>267</v>
      </c>
      <c r="P57" t="s">
        <v>24</v>
      </c>
      <c r="Q57" t="s">
        <v>24</v>
      </c>
    </row>
    <row r="58" spans="1:17" x14ac:dyDescent="0.25">
      <c r="A58">
        <v>59</v>
      </c>
      <c r="B58" t="s">
        <v>72</v>
      </c>
      <c r="C58" t="s">
        <v>268</v>
      </c>
      <c r="D58" t="s">
        <v>269</v>
      </c>
      <c r="E58" t="s">
        <v>27</v>
      </c>
      <c r="F58">
        <v>0</v>
      </c>
      <c r="G58">
        <v>0</v>
      </c>
      <c r="H58" t="s">
        <v>57</v>
      </c>
      <c r="I58">
        <v>1</v>
      </c>
      <c r="K58">
        <v>1</v>
      </c>
      <c r="N58" t="s">
        <v>270</v>
      </c>
      <c r="O58" t="s">
        <v>271</v>
      </c>
      <c r="P58" t="s">
        <v>24</v>
      </c>
      <c r="Q58" t="s">
        <v>24</v>
      </c>
    </row>
    <row r="59" spans="1:17" x14ac:dyDescent="0.25">
      <c r="A59">
        <v>60</v>
      </c>
      <c r="B59" t="s">
        <v>272</v>
      </c>
      <c r="D59" t="s">
        <v>273</v>
      </c>
      <c r="E59" t="s">
        <v>27</v>
      </c>
      <c r="F59">
        <v>0</v>
      </c>
      <c r="G59">
        <v>0</v>
      </c>
      <c r="H59" t="s">
        <v>57</v>
      </c>
      <c r="I59">
        <v>1</v>
      </c>
      <c r="K59">
        <v>1</v>
      </c>
      <c r="M59" t="s">
        <v>92</v>
      </c>
      <c r="N59" t="s">
        <v>274</v>
      </c>
      <c r="O59" t="s">
        <v>1155</v>
      </c>
      <c r="P59" t="s">
        <v>24</v>
      </c>
      <c r="Q59" t="s">
        <v>24</v>
      </c>
    </row>
    <row r="60" spans="1:17" x14ac:dyDescent="0.25">
      <c r="A60">
        <v>61</v>
      </c>
      <c r="B60" t="s">
        <v>275</v>
      </c>
      <c r="D60" t="s">
        <v>276</v>
      </c>
      <c r="E60" t="s">
        <v>27</v>
      </c>
      <c r="F60">
        <v>0</v>
      </c>
      <c r="G60">
        <v>0</v>
      </c>
      <c r="H60" t="s">
        <v>57</v>
      </c>
      <c r="I60">
        <v>1</v>
      </c>
      <c r="K60">
        <v>1</v>
      </c>
      <c r="L60" t="s">
        <v>277</v>
      </c>
      <c r="M60" t="s">
        <v>278</v>
      </c>
      <c r="N60" t="s">
        <v>279</v>
      </c>
      <c r="O60" t="s">
        <v>1156</v>
      </c>
      <c r="P60" t="s">
        <v>24</v>
      </c>
      <c r="Q60" t="s">
        <v>24</v>
      </c>
    </row>
    <row r="61" spans="1:17" x14ac:dyDescent="0.25">
      <c r="A61">
        <v>62</v>
      </c>
      <c r="B61" t="s">
        <v>280</v>
      </c>
      <c r="D61" t="s">
        <v>281</v>
      </c>
      <c r="E61" t="s">
        <v>27</v>
      </c>
      <c r="F61">
        <v>0</v>
      </c>
      <c r="G61">
        <v>0</v>
      </c>
      <c r="H61" t="s">
        <v>57</v>
      </c>
      <c r="I61">
        <v>1</v>
      </c>
      <c r="K61">
        <v>1</v>
      </c>
      <c r="L61" t="s">
        <v>282</v>
      </c>
      <c r="M61" t="s">
        <v>278</v>
      </c>
      <c r="N61" t="s">
        <v>283</v>
      </c>
      <c r="O61" t="s">
        <v>1157</v>
      </c>
      <c r="P61" t="s">
        <v>24</v>
      </c>
      <c r="Q61" t="s">
        <v>24</v>
      </c>
    </row>
    <row r="62" spans="1:17" x14ac:dyDescent="0.25">
      <c r="A62">
        <v>63</v>
      </c>
      <c r="B62" t="s">
        <v>284</v>
      </c>
      <c r="D62" t="s">
        <v>285</v>
      </c>
      <c r="E62" t="s">
        <v>27</v>
      </c>
      <c r="F62">
        <v>0</v>
      </c>
      <c r="G62">
        <v>0</v>
      </c>
      <c r="H62" t="s">
        <v>57</v>
      </c>
      <c r="I62">
        <v>1</v>
      </c>
      <c r="K62">
        <v>1</v>
      </c>
      <c r="L62" t="s">
        <v>286</v>
      </c>
      <c r="M62" t="s">
        <v>278</v>
      </c>
      <c r="N62" t="s">
        <v>287</v>
      </c>
      <c r="O62" t="s">
        <v>1158</v>
      </c>
      <c r="P62" t="s">
        <v>24</v>
      </c>
      <c r="Q62" t="s">
        <v>24</v>
      </c>
    </row>
    <row r="63" spans="1:17" x14ac:dyDescent="0.25">
      <c r="A63">
        <v>64</v>
      </c>
      <c r="B63" t="s">
        <v>288</v>
      </c>
      <c r="D63" t="s">
        <v>289</v>
      </c>
      <c r="E63" t="s">
        <v>27</v>
      </c>
      <c r="F63">
        <v>0</v>
      </c>
      <c r="G63">
        <v>0</v>
      </c>
      <c r="H63" t="s">
        <v>57</v>
      </c>
      <c r="I63">
        <v>1</v>
      </c>
      <c r="K63">
        <v>1</v>
      </c>
      <c r="M63" t="s">
        <v>74</v>
      </c>
      <c r="N63" t="s">
        <v>290</v>
      </c>
      <c r="O63" t="s">
        <v>291</v>
      </c>
      <c r="P63" t="s">
        <v>24</v>
      </c>
      <c r="Q63" t="s">
        <v>24</v>
      </c>
    </row>
    <row r="64" spans="1:17" x14ac:dyDescent="0.25">
      <c r="A64">
        <v>65</v>
      </c>
      <c r="B64" t="s">
        <v>278</v>
      </c>
      <c r="D64" t="s">
        <v>292</v>
      </c>
      <c r="E64" t="s">
        <v>27</v>
      </c>
      <c r="F64">
        <v>1</v>
      </c>
      <c r="G64">
        <v>1</v>
      </c>
      <c r="H64" t="s">
        <v>57</v>
      </c>
      <c r="I64">
        <v>1</v>
      </c>
      <c r="K64">
        <v>1</v>
      </c>
      <c r="L64" t="s">
        <v>293</v>
      </c>
      <c r="N64" t="s">
        <v>294</v>
      </c>
      <c r="O64" t="s">
        <v>1159</v>
      </c>
      <c r="P64" t="s">
        <v>24</v>
      </c>
      <c r="Q64" t="s">
        <v>24</v>
      </c>
    </row>
    <row r="65" spans="1:17" x14ac:dyDescent="0.25">
      <c r="A65">
        <v>66</v>
      </c>
      <c r="B65" t="s">
        <v>295</v>
      </c>
      <c r="D65" t="s">
        <v>296</v>
      </c>
      <c r="E65" t="s">
        <v>27</v>
      </c>
      <c r="F65">
        <v>1</v>
      </c>
      <c r="G65">
        <v>0</v>
      </c>
      <c r="H65" t="s">
        <v>297</v>
      </c>
      <c r="I65">
        <v>1</v>
      </c>
      <c r="J65" t="s">
        <v>298</v>
      </c>
      <c r="K65">
        <v>0</v>
      </c>
      <c r="N65" t="s">
        <v>299</v>
      </c>
      <c r="O65" t="s">
        <v>300</v>
      </c>
      <c r="P65" t="s">
        <v>24</v>
      </c>
      <c r="Q65" t="s">
        <v>24</v>
      </c>
    </row>
    <row r="66" spans="1:17" x14ac:dyDescent="0.25">
      <c r="A66">
        <v>67</v>
      </c>
      <c r="B66" t="s">
        <v>301</v>
      </c>
      <c r="C66" t="s">
        <v>302</v>
      </c>
      <c r="D66" t="s">
        <v>303</v>
      </c>
      <c r="E66" t="s">
        <v>27</v>
      </c>
      <c r="F66">
        <v>1</v>
      </c>
      <c r="G66">
        <v>0</v>
      </c>
      <c r="H66" t="s">
        <v>304</v>
      </c>
      <c r="I66">
        <v>1</v>
      </c>
      <c r="J66" t="s">
        <v>305</v>
      </c>
      <c r="K66">
        <v>0</v>
      </c>
      <c r="N66" t="s">
        <v>306</v>
      </c>
      <c r="O66" t="s">
        <v>307</v>
      </c>
      <c r="P66" t="s">
        <v>24</v>
      </c>
      <c r="Q66" t="s">
        <v>24</v>
      </c>
    </row>
    <row r="67" spans="1:17" x14ac:dyDescent="0.25">
      <c r="A67">
        <v>68</v>
      </c>
      <c r="B67" t="s">
        <v>308</v>
      </c>
      <c r="D67" t="s">
        <v>309</v>
      </c>
      <c r="E67" t="s">
        <v>27</v>
      </c>
      <c r="F67">
        <v>1</v>
      </c>
      <c r="G67">
        <v>1</v>
      </c>
      <c r="H67" t="s">
        <v>310</v>
      </c>
      <c r="I67">
        <v>1</v>
      </c>
      <c r="K67">
        <v>0</v>
      </c>
      <c r="N67" t="s">
        <v>311</v>
      </c>
      <c r="O67" t="s">
        <v>312</v>
      </c>
      <c r="P67" t="s">
        <v>24</v>
      </c>
      <c r="Q67" t="s">
        <v>24</v>
      </c>
    </row>
    <row r="68" spans="1:17" x14ac:dyDescent="0.25">
      <c r="A68">
        <v>69</v>
      </c>
      <c r="B68" t="s">
        <v>313</v>
      </c>
      <c r="D68" t="s">
        <v>314</v>
      </c>
      <c r="E68" t="s">
        <v>27</v>
      </c>
      <c r="F68">
        <v>1</v>
      </c>
      <c r="G68">
        <v>0</v>
      </c>
      <c r="H68" t="s">
        <v>310</v>
      </c>
      <c r="I68">
        <v>1</v>
      </c>
      <c r="K68">
        <v>0</v>
      </c>
      <c r="N68" t="s">
        <v>315</v>
      </c>
      <c r="O68" t="s">
        <v>316</v>
      </c>
      <c r="P68" t="s">
        <v>24</v>
      </c>
      <c r="Q68" t="s">
        <v>24</v>
      </c>
    </row>
    <row r="69" spans="1:17" x14ac:dyDescent="0.25">
      <c r="A69">
        <v>463</v>
      </c>
      <c r="B69" t="s">
        <v>317</v>
      </c>
      <c r="C69" t="s">
        <v>24</v>
      </c>
      <c r="D69" t="s">
        <v>318</v>
      </c>
      <c r="E69" t="s">
        <v>27</v>
      </c>
      <c r="F69">
        <v>1</v>
      </c>
      <c r="G69">
        <v>0</v>
      </c>
      <c r="H69" t="s">
        <v>319</v>
      </c>
      <c r="I69">
        <v>1</v>
      </c>
      <c r="J69" t="s">
        <v>24</v>
      </c>
      <c r="K69">
        <v>0</v>
      </c>
      <c r="L69" t="s">
        <v>24</v>
      </c>
      <c r="M69" t="s">
        <v>24</v>
      </c>
      <c r="N69" t="s">
        <v>320</v>
      </c>
      <c r="O69" t="s">
        <v>321</v>
      </c>
      <c r="P69" t="s">
        <v>24</v>
      </c>
      <c r="Q69" t="s">
        <v>24</v>
      </c>
    </row>
    <row r="70" spans="1:17" x14ac:dyDescent="0.25">
      <c r="A70">
        <v>70</v>
      </c>
      <c r="B70" t="s">
        <v>322</v>
      </c>
      <c r="D70" t="s">
        <v>323</v>
      </c>
      <c r="E70" t="s">
        <v>27</v>
      </c>
      <c r="F70">
        <v>0</v>
      </c>
      <c r="G70">
        <v>0</v>
      </c>
      <c r="H70" t="s">
        <v>57</v>
      </c>
      <c r="I70">
        <v>1</v>
      </c>
      <c r="K70">
        <v>1</v>
      </c>
      <c r="M70" t="s">
        <v>92</v>
      </c>
      <c r="N70" t="s">
        <v>324</v>
      </c>
      <c r="O70" t="s">
        <v>325</v>
      </c>
      <c r="P70" t="s">
        <v>24</v>
      </c>
      <c r="Q70" t="s">
        <v>24</v>
      </c>
    </row>
    <row r="71" spans="1:17" x14ac:dyDescent="0.25">
      <c r="A71">
        <v>71</v>
      </c>
      <c r="B71" t="s">
        <v>326</v>
      </c>
      <c r="C71" t="s">
        <v>327</v>
      </c>
      <c r="D71" t="s">
        <v>328</v>
      </c>
      <c r="E71" t="s">
        <v>27</v>
      </c>
      <c r="F71">
        <v>1</v>
      </c>
      <c r="G71">
        <v>0</v>
      </c>
      <c r="H71" t="s">
        <v>96</v>
      </c>
      <c r="I71">
        <v>1</v>
      </c>
      <c r="K71">
        <v>1</v>
      </c>
      <c r="N71" t="s">
        <v>329</v>
      </c>
      <c r="O71" t="s">
        <v>330</v>
      </c>
      <c r="P71" t="s">
        <v>24</v>
      </c>
      <c r="Q71" t="s">
        <v>24</v>
      </c>
    </row>
    <row r="72" spans="1:17" x14ac:dyDescent="0.25">
      <c r="A72">
        <v>72</v>
      </c>
      <c r="B72" t="s">
        <v>331</v>
      </c>
      <c r="D72" t="s">
        <v>332</v>
      </c>
      <c r="E72" t="s">
        <v>27</v>
      </c>
      <c r="F72">
        <v>0</v>
      </c>
      <c r="G72">
        <v>0</v>
      </c>
      <c r="H72" t="s">
        <v>57</v>
      </c>
      <c r="I72">
        <v>1</v>
      </c>
      <c r="K72">
        <v>1</v>
      </c>
      <c r="M72" t="s">
        <v>74</v>
      </c>
      <c r="N72" t="s">
        <v>333</v>
      </c>
      <c r="O72" t="s">
        <v>334</v>
      </c>
      <c r="P72" t="s">
        <v>24</v>
      </c>
      <c r="Q72" t="s">
        <v>24</v>
      </c>
    </row>
    <row r="73" spans="1:17" x14ac:dyDescent="0.25">
      <c r="A73">
        <v>73</v>
      </c>
      <c r="B73" t="s">
        <v>335</v>
      </c>
      <c r="D73" t="s">
        <v>336</v>
      </c>
      <c r="E73" t="s">
        <v>27</v>
      </c>
      <c r="F73">
        <v>1</v>
      </c>
      <c r="G73">
        <v>0</v>
      </c>
      <c r="H73" t="s">
        <v>28</v>
      </c>
      <c r="I73">
        <v>1</v>
      </c>
      <c r="K73">
        <v>1</v>
      </c>
      <c r="N73" t="s">
        <v>337</v>
      </c>
      <c r="O73" t="s">
        <v>338</v>
      </c>
      <c r="P73" t="s">
        <v>24</v>
      </c>
      <c r="Q73" t="s">
        <v>24</v>
      </c>
    </row>
    <row r="74" spans="1:17" x14ac:dyDescent="0.25">
      <c r="A74">
        <v>74</v>
      </c>
      <c r="B74" t="s">
        <v>339</v>
      </c>
      <c r="D74" t="s">
        <v>340</v>
      </c>
      <c r="E74" t="s">
        <v>192</v>
      </c>
      <c r="F74">
        <v>1</v>
      </c>
      <c r="G74">
        <v>0</v>
      </c>
      <c r="H74" t="s">
        <v>341</v>
      </c>
      <c r="I74">
        <v>0</v>
      </c>
      <c r="K74">
        <v>0</v>
      </c>
      <c r="N74" t="s">
        <v>342</v>
      </c>
      <c r="O74" t="s">
        <v>343</v>
      </c>
      <c r="P74" t="s">
        <v>24</v>
      </c>
      <c r="Q74" t="s">
        <v>24</v>
      </c>
    </row>
    <row r="75" spans="1:17" x14ac:dyDescent="0.25">
      <c r="A75">
        <v>75</v>
      </c>
      <c r="B75" t="s">
        <v>344</v>
      </c>
      <c r="C75" t="s">
        <v>345</v>
      </c>
      <c r="D75" t="s">
        <v>346</v>
      </c>
      <c r="E75" t="s">
        <v>27</v>
      </c>
      <c r="F75">
        <v>0</v>
      </c>
      <c r="G75">
        <v>0</v>
      </c>
      <c r="H75" t="s">
        <v>57</v>
      </c>
      <c r="I75">
        <v>1</v>
      </c>
      <c r="K75">
        <v>1</v>
      </c>
      <c r="N75" t="s">
        <v>347</v>
      </c>
      <c r="O75" t="s">
        <v>1160</v>
      </c>
      <c r="P75" t="s">
        <v>24</v>
      </c>
      <c r="Q75" t="s">
        <v>24</v>
      </c>
    </row>
    <row r="76" spans="1:17" x14ac:dyDescent="0.25">
      <c r="A76">
        <v>76</v>
      </c>
      <c r="B76" t="s">
        <v>348</v>
      </c>
      <c r="D76" t="s">
        <v>349</v>
      </c>
      <c r="E76" t="s">
        <v>27</v>
      </c>
      <c r="F76">
        <v>0</v>
      </c>
      <c r="G76">
        <v>0</v>
      </c>
      <c r="H76" t="s">
        <v>57</v>
      </c>
      <c r="I76">
        <v>1</v>
      </c>
      <c r="K76">
        <v>1</v>
      </c>
      <c r="M76" t="s">
        <v>62</v>
      </c>
      <c r="N76" t="s">
        <v>350</v>
      </c>
      <c r="O76" t="s">
        <v>351</v>
      </c>
      <c r="P76" t="s">
        <v>24</v>
      </c>
      <c r="Q76" t="s">
        <v>24</v>
      </c>
    </row>
    <row r="77" spans="1:17" x14ac:dyDescent="0.25">
      <c r="A77">
        <v>77</v>
      </c>
      <c r="B77" t="s">
        <v>352</v>
      </c>
      <c r="D77" t="s">
        <v>353</v>
      </c>
      <c r="E77" t="s">
        <v>39</v>
      </c>
      <c r="F77">
        <v>0</v>
      </c>
      <c r="G77">
        <v>0</v>
      </c>
      <c r="H77" t="s">
        <v>354</v>
      </c>
      <c r="I77">
        <v>1</v>
      </c>
      <c r="K77">
        <v>0</v>
      </c>
      <c r="N77" t="s">
        <v>355</v>
      </c>
      <c r="O77" t="s">
        <v>356</v>
      </c>
      <c r="P77" t="s">
        <v>24</v>
      </c>
      <c r="Q77" t="s">
        <v>24</v>
      </c>
    </row>
    <row r="78" spans="1:17" x14ac:dyDescent="0.25">
      <c r="A78">
        <v>78</v>
      </c>
      <c r="B78" t="s">
        <v>357</v>
      </c>
      <c r="D78" t="s">
        <v>358</v>
      </c>
      <c r="E78" t="s">
        <v>27</v>
      </c>
      <c r="F78">
        <v>0</v>
      </c>
      <c r="G78">
        <v>0</v>
      </c>
      <c r="H78" t="s">
        <v>57</v>
      </c>
      <c r="I78">
        <v>1</v>
      </c>
      <c r="K78">
        <v>1</v>
      </c>
      <c r="M78" t="s">
        <v>74</v>
      </c>
      <c r="N78" t="s">
        <v>359</v>
      </c>
      <c r="O78" t="s">
        <v>360</v>
      </c>
      <c r="P78" t="s">
        <v>24</v>
      </c>
      <c r="Q78" t="s">
        <v>24</v>
      </c>
    </row>
    <row r="79" spans="1:17" x14ac:dyDescent="0.25">
      <c r="A79">
        <v>79</v>
      </c>
      <c r="B79" t="s">
        <v>361</v>
      </c>
      <c r="D79" t="s">
        <v>362</v>
      </c>
      <c r="E79" t="s">
        <v>27</v>
      </c>
      <c r="F79">
        <v>1</v>
      </c>
      <c r="G79">
        <v>0</v>
      </c>
      <c r="H79" t="s">
        <v>363</v>
      </c>
      <c r="I79">
        <v>0</v>
      </c>
      <c r="K79">
        <v>0</v>
      </c>
      <c r="N79" t="s">
        <v>364</v>
      </c>
      <c r="O79" t="s">
        <v>365</v>
      </c>
      <c r="P79" t="s">
        <v>24</v>
      </c>
      <c r="Q79" t="s">
        <v>24</v>
      </c>
    </row>
    <row r="80" spans="1:17" x14ac:dyDescent="0.25">
      <c r="A80">
        <v>80</v>
      </c>
      <c r="B80" t="s">
        <v>366</v>
      </c>
      <c r="D80" t="s">
        <v>367</v>
      </c>
      <c r="E80" t="s">
        <v>27</v>
      </c>
      <c r="F80">
        <v>0</v>
      </c>
      <c r="G80">
        <v>0</v>
      </c>
      <c r="H80" t="s">
        <v>57</v>
      </c>
      <c r="I80">
        <v>1</v>
      </c>
      <c r="K80">
        <v>1</v>
      </c>
      <c r="L80" t="s">
        <v>368</v>
      </c>
      <c r="M80" t="s">
        <v>78</v>
      </c>
      <c r="N80" t="s">
        <v>369</v>
      </c>
      <c r="O80" t="s">
        <v>1161</v>
      </c>
      <c r="P80" t="s">
        <v>24</v>
      </c>
      <c r="Q80" t="s">
        <v>24</v>
      </c>
    </row>
    <row r="81" spans="1:17" x14ac:dyDescent="0.25">
      <c r="A81">
        <v>81</v>
      </c>
      <c r="B81" t="s">
        <v>370</v>
      </c>
      <c r="D81" t="s">
        <v>371</v>
      </c>
      <c r="E81" t="s">
        <v>27</v>
      </c>
      <c r="F81">
        <v>0</v>
      </c>
      <c r="G81">
        <v>0</v>
      </c>
      <c r="H81" t="s">
        <v>57</v>
      </c>
      <c r="I81">
        <v>1</v>
      </c>
      <c r="K81">
        <v>1</v>
      </c>
      <c r="M81" t="s">
        <v>58</v>
      </c>
      <c r="N81" t="s">
        <v>372</v>
      </c>
      <c r="O81" t="s">
        <v>1162</v>
      </c>
      <c r="P81" t="s">
        <v>24</v>
      </c>
      <c r="Q81" t="s">
        <v>24</v>
      </c>
    </row>
    <row r="82" spans="1:17" x14ac:dyDescent="0.25">
      <c r="A82">
        <v>82</v>
      </c>
      <c r="B82" t="s">
        <v>373</v>
      </c>
      <c r="D82" t="s">
        <v>374</v>
      </c>
      <c r="E82" t="s">
        <v>27</v>
      </c>
      <c r="F82">
        <v>0</v>
      </c>
      <c r="G82">
        <v>0</v>
      </c>
      <c r="H82" t="s">
        <v>57</v>
      </c>
      <c r="I82">
        <v>1</v>
      </c>
      <c r="K82">
        <v>1</v>
      </c>
      <c r="P82" t="s">
        <v>24</v>
      </c>
      <c r="Q82" t="s">
        <v>24</v>
      </c>
    </row>
    <row r="83" spans="1:17" x14ac:dyDescent="0.25">
      <c r="A83">
        <v>83</v>
      </c>
      <c r="B83" t="s">
        <v>375</v>
      </c>
      <c r="D83" t="s">
        <v>376</v>
      </c>
      <c r="E83" t="s">
        <v>27</v>
      </c>
      <c r="F83">
        <v>0</v>
      </c>
      <c r="G83">
        <v>0</v>
      </c>
      <c r="H83" t="s">
        <v>57</v>
      </c>
      <c r="I83">
        <v>1</v>
      </c>
      <c r="K83">
        <v>1</v>
      </c>
      <c r="M83" t="s">
        <v>74</v>
      </c>
      <c r="N83" t="s">
        <v>377</v>
      </c>
      <c r="O83" t="s">
        <v>1163</v>
      </c>
      <c r="P83" t="s">
        <v>24</v>
      </c>
      <c r="Q83" t="s">
        <v>24</v>
      </c>
    </row>
    <row r="84" spans="1:17" x14ac:dyDescent="0.25">
      <c r="A84">
        <v>84</v>
      </c>
      <c r="B84" t="s">
        <v>378</v>
      </c>
      <c r="D84" t="s">
        <v>379</v>
      </c>
      <c r="E84" t="s">
        <v>27</v>
      </c>
      <c r="F84">
        <v>0</v>
      </c>
      <c r="G84">
        <v>0</v>
      </c>
      <c r="H84" t="s">
        <v>57</v>
      </c>
      <c r="I84">
        <v>1</v>
      </c>
      <c r="K84">
        <v>1</v>
      </c>
      <c r="M84" t="s">
        <v>114</v>
      </c>
      <c r="N84" t="s">
        <v>380</v>
      </c>
      <c r="O84" t="s">
        <v>381</v>
      </c>
      <c r="P84" t="s">
        <v>24</v>
      </c>
      <c r="Q84" t="s">
        <v>24</v>
      </c>
    </row>
    <row r="85" spans="1:17" x14ac:dyDescent="0.25">
      <c r="A85">
        <v>85</v>
      </c>
      <c r="B85" t="s">
        <v>114</v>
      </c>
      <c r="D85" t="s">
        <v>374</v>
      </c>
      <c r="E85" t="s">
        <v>27</v>
      </c>
      <c r="F85">
        <v>1</v>
      </c>
      <c r="G85">
        <v>0</v>
      </c>
      <c r="H85" t="s">
        <v>57</v>
      </c>
      <c r="I85">
        <v>1</v>
      </c>
      <c r="K85">
        <v>1</v>
      </c>
      <c r="L85" t="s">
        <v>382</v>
      </c>
      <c r="N85" t="s">
        <v>383</v>
      </c>
      <c r="O85" t="s">
        <v>384</v>
      </c>
      <c r="P85" t="s">
        <v>24</v>
      </c>
      <c r="Q85" t="s">
        <v>24</v>
      </c>
    </row>
    <row r="86" spans="1:17" x14ac:dyDescent="0.25">
      <c r="A86">
        <v>86</v>
      </c>
      <c r="B86" t="s">
        <v>385</v>
      </c>
      <c r="D86" t="s">
        <v>386</v>
      </c>
      <c r="E86" t="s">
        <v>27</v>
      </c>
      <c r="F86">
        <v>1</v>
      </c>
      <c r="G86">
        <v>0</v>
      </c>
      <c r="H86" t="s">
        <v>387</v>
      </c>
      <c r="I86">
        <v>0</v>
      </c>
      <c r="K86">
        <v>0</v>
      </c>
      <c r="N86" t="s">
        <v>388</v>
      </c>
      <c r="O86" t="s">
        <v>1164</v>
      </c>
      <c r="P86" t="s">
        <v>24</v>
      </c>
      <c r="Q86" t="s">
        <v>24</v>
      </c>
    </row>
    <row r="87" spans="1:17" x14ac:dyDescent="0.25">
      <c r="A87">
        <v>87</v>
      </c>
      <c r="B87" t="s">
        <v>389</v>
      </c>
      <c r="D87" t="s">
        <v>390</v>
      </c>
      <c r="E87" t="s">
        <v>27</v>
      </c>
      <c r="F87">
        <v>1</v>
      </c>
      <c r="G87">
        <v>0</v>
      </c>
      <c r="H87" t="s">
        <v>389</v>
      </c>
      <c r="I87">
        <v>0</v>
      </c>
      <c r="K87">
        <v>0</v>
      </c>
      <c r="N87" t="s">
        <v>391</v>
      </c>
      <c r="O87" t="s">
        <v>392</v>
      </c>
      <c r="P87" t="s">
        <v>24</v>
      </c>
      <c r="Q87" t="s">
        <v>24</v>
      </c>
    </row>
    <row r="88" spans="1:17" x14ac:dyDescent="0.25">
      <c r="A88">
        <v>88</v>
      </c>
      <c r="B88" t="s">
        <v>393</v>
      </c>
      <c r="C88" t="s">
        <v>394</v>
      </c>
      <c r="D88" t="s">
        <v>395</v>
      </c>
      <c r="E88" t="s">
        <v>27</v>
      </c>
      <c r="F88">
        <v>1</v>
      </c>
      <c r="G88">
        <v>1</v>
      </c>
      <c r="H88" t="s">
        <v>28</v>
      </c>
      <c r="I88">
        <v>1</v>
      </c>
      <c r="K88">
        <v>1</v>
      </c>
      <c r="N88" t="s">
        <v>396</v>
      </c>
      <c r="O88" t="s">
        <v>397</v>
      </c>
      <c r="P88" t="s">
        <v>24</v>
      </c>
      <c r="Q88" t="s">
        <v>24</v>
      </c>
    </row>
    <row r="89" spans="1:17" x14ac:dyDescent="0.25">
      <c r="A89">
        <v>89</v>
      </c>
      <c r="B89" t="s">
        <v>398</v>
      </c>
      <c r="D89" t="s">
        <v>399</v>
      </c>
      <c r="E89" t="s">
        <v>400</v>
      </c>
      <c r="F89">
        <v>1</v>
      </c>
      <c r="G89">
        <v>0</v>
      </c>
      <c r="H89" t="s">
        <v>401</v>
      </c>
      <c r="I89">
        <v>0</v>
      </c>
      <c r="K89">
        <v>0</v>
      </c>
      <c r="N89" t="s">
        <v>402</v>
      </c>
      <c r="O89" t="s">
        <v>403</v>
      </c>
      <c r="P89" t="s">
        <v>24</v>
      </c>
      <c r="Q89" t="s">
        <v>24</v>
      </c>
    </row>
    <row r="90" spans="1:17" x14ac:dyDescent="0.25">
      <c r="A90">
        <v>90</v>
      </c>
      <c r="B90" t="s">
        <v>404</v>
      </c>
      <c r="D90" t="s">
        <v>405</v>
      </c>
      <c r="E90" t="s">
        <v>27</v>
      </c>
      <c r="F90">
        <v>1</v>
      </c>
      <c r="G90">
        <v>0</v>
      </c>
      <c r="H90" t="s">
        <v>406</v>
      </c>
      <c r="I90">
        <v>0</v>
      </c>
      <c r="K90">
        <v>0</v>
      </c>
      <c r="N90" t="s">
        <v>407</v>
      </c>
      <c r="O90" t="s">
        <v>408</v>
      </c>
      <c r="P90" t="s">
        <v>24</v>
      </c>
      <c r="Q90" t="s">
        <v>24</v>
      </c>
    </row>
    <row r="91" spans="1:17" x14ac:dyDescent="0.25">
      <c r="A91">
        <v>91</v>
      </c>
      <c r="B91" t="s">
        <v>409</v>
      </c>
      <c r="D91" t="s">
        <v>410</v>
      </c>
      <c r="E91" t="s">
        <v>27</v>
      </c>
      <c r="F91">
        <v>0</v>
      </c>
      <c r="G91">
        <v>0</v>
      </c>
      <c r="H91" t="s">
        <v>28</v>
      </c>
      <c r="I91">
        <v>1</v>
      </c>
      <c r="K91">
        <v>0</v>
      </c>
      <c r="N91" t="s">
        <v>411</v>
      </c>
      <c r="O91" t="s">
        <v>1165</v>
      </c>
      <c r="P91" t="s">
        <v>24</v>
      </c>
      <c r="Q91" t="s">
        <v>24</v>
      </c>
    </row>
    <row r="92" spans="1:17" x14ac:dyDescent="0.25">
      <c r="A92">
        <v>92</v>
      </c>
      <c r="B92" t="s">
        <v>412</v>
      </c>
      <c r="D92" t="s">
        <v>413</v>
      </c>
      <c r="E92" t="s">
        <v>39</v>
      </c>
      <c r="F92">
        <v>1</v>
      </c>
      <c r="G92">
        <v>0</v>
      </c>
      <c r="H92" t="s">
        <v>28</v>
      </c>
      <c r="I92">
        <v>1</v>
      </c>
      <c r="K92">
        <v>0</v>
      </c>
      <c r="N92" t="s">
        <v>414</v>
      </c>
      <c r="O92" t="s">
        <v>415</v>
      </c>
      <c r="P92" t="s">
        <v>24</v>
      </c>
      <c r="Q92" t="s">
        <v>24</v>
      </c>
    </row>
    <row r="93" spans="1:17" x14ac:dyDescent="0.25">
      <c r="A93">
        <v>93</v>
      </c>
      <c r="B93" t="s">
        <v>416</v>
      </c>
      <c r="D93" t="s">
        <v>417</v>
      </c>
      <c r="E93" t="s">
        <v>39</v>
      </c>
      <c r="F93">
        <v>1</v>
      </c>
      <c r="G93">
        <v>0</v>
      </c>
      <c r="H93" t="s">
        <v>418</v>
      </c>
      <c r="I93">
        <v>0</v>
      </c>
      <c r="K93">
        <v>0</v>
      </c>
      <c r="N93" t="s">
        <v>419</v>
      </c>
      <c r="O93" t="s">
        <v>420</v>
      </c>
      <c r="P93" t="s">
        <v>24</v>
      </c>
      <c r="Q93" t="s">
        <v>24</v>
      </c>
    </row>
    <row r="94" spans="1:17" x14ac:dyDescent="0.25">
      <c r="A94">
        <v>94</v>
      </c>
      <c r="B94" t="s">
        <v>421</v>
      </c>
      <c r="D94" t="s">
        <v>422</v>
      </c>
      <c r="E94" t="s">
        <v>27</v>
      </c>
      <c r="F94">
        <v>0</v>
      </c>
      <c r="G94">
        <v>0</v>
      </c>
      <c r="H94" t="s">
        <v>57</v>
      </c>
      <c r="I94">
        <v>1</v>
      </c>
      <c r="K94">
        <v>1</v>
      </c>
      <c r="M94" t="s">
        <v>74</v>
      </c>
      <c r="N94" t="s">
        <v>423</v>
      </c>
      <c r="O94" t="s">
        <v>424</v>
      </c>
      <c r="P94" t="s">
        <v>24</v>
      </c>
      <c r="Q94" t="s">
        <v>24</v>
      </c>
    </row>
    <row r="95" spans="1:17" x14ac:dyDescent="0.25">
      <c r="A95">
        <v>95</v>
      </c>
      <c r="B95" t="s">
        <v>425</v>
      </c>
      <c r="D95" t="s">
        <v>426</v>
      </c>
      <c r="E95" t="s">
        <v>39</v>
      </c>
      <c r="F95">
        <v>1</v>
      </c>
      <c r="G95">
        <v>0</v>
      </c>
      <c r="H95" t="s">
        <v>427</v>
      </c>
      <c r="I95">
        <v>0</v>
      </c>
      <c r="K95">
        <v>0</v>
      </c>
      <c r="N95" t="s">
        <v>428</v>
      </c>
      <c r="O95" t="s">
        <v>1166</v>
      </c>
      <c r="P95" t="s">
        <v>24</v>
      </c>
      <c r="Q95" t="s">
        <v>24</v>
      </c>
    </row>
    <row r="96" spans="1:17" x14ac:dyDescent="0.25">
      <c r="A96">
        <v>96</v>
      </c>
      <c r="B96" t="s">
        <v>429</v>
      </c>
      <c r="D96" t="s">
        <v>430</v>
      </c>
      <c r="E96" t="s">
        <v>400</v>
      </c>
      <c r="F96">
        <v>1</v>
      </c>
      <c r="G96">
        <v>0</v>
      </c>
      <c r="H96" t="s">
        <v>431</v>
      </c>
      <c r="I96">
        <v>0</v>
      </c>
      <c r="K96">
        <v>0</v>
      </c>
      <c r="N96" t="s">
        <v>432</v>
      </c>
      <c r="O96" t="s">
        <v>433</v>
      </c>
      <c r="P96" t="s">
        <v>24</v>
      </c>
      <c r="Q96" t="s">
        <v>24</v>
      </c>
    </row>
    <row r="97" spans="1:17" x14ac:dyDescent="0.25">
      <c r="A97">
        <v>97</v>
      </c>
      <c r="B97" t="s">
        <v>434</v>
      </c>
      <c r="D97" t="s">
        <v>435</v>
      </c>
      <c r="E97" t="s">
        <v>27</v>
      </c>
      <c r="F97">
        <v>1</v>
      </c>
      <c r="G97">
        <v>1</v>
      </c>
      <c r="H97" t="s">
        <v>431</v>
      </c>
      <c r="I97">
        <v>1</v>
      </c>
      <c r="K97">
        <v>1</v>
      </c>
      <c r="N97" t="s">
        <v>436</v>
      </c>
      <c r="O97" t="s">
        <v>437</v>
      </c>
      <c r="P97" t="s">
        <v>24</v>
      </c>
      <c r="Q97" t="s">
        <v>24</v>
      </c>
    </row>
    <row r="98" spans="1:17" x14ac:dyDescent="0.25">
      <c r="A98">
        <v>98</v>
      </c>
      <c r="B98" t="s">
        <v>438</v>
      </c>
      <c r="D98" t="s">
        <v>439</v>
      </c>
      <c r="E98" t="s">
        <v>39</v>
      </c>
      <c r="F98">
        <v>0</v>
      </c>
      <c r="G98">
        <v>0</v>
      </c>
      <c r="H98" t="s">
        <v>440</v>
      </c>
      <c r="I98">
        <v>1</v>
      </c>
      <c r="K98">
        <v>0</v>
      </c>
      <c r="P98" t="s">
        <v>24</v>
      </c>
      <c r="Q98" t="s">
        <v>24</v>
      </c>
    </row>
    <row r="99" spans="1:17" x14ac:dyDescent="0.25">
      <c r="A99">
        <v>99</v>
      </c>
      <c r="B99" t="s">
        <v>441</v>
      </c>
      <c r="C99" t="s">
        <v>442</v>
      </c>
      <c r="D99" t="s">
        <v>443</v>
      </c>
      <c r="E99" t="s">
        <v>27</v>
      </c>
      <c r="F99">
        <v>1</v>
      </c>
      <c r="G99">
        <v>0</v>
      </c>
      <c r="H99" t="s">
        <v>442</v>
      </c>
      <c r="I99">
        <v>1</v>
      </c>
      <c r="K99">
        <v>0</v>
      </c>
      <c r="N99" t="s">
        <v>444</v>
      </c>
      <c r="O99" t="s">
        <v>445</v>
      </c>
      <c r="P99" t="s">
        <v>24</v>
      </c>
      <c r="Q99" t="s">
        <v>24</v>
      </c>
    </row>
    <row r="100" spans="1:17" x14ac:dyDescent="0.25">
      <c r="A100">
        <v>100</v>
      </c>
      <c r="B100" t="s">
        <v>446</v>
      </c>
      <c r="D100" t="s">
        <v>447</v>
      </c>
      <c r="E100" t="s">
        <v>27</v>
      </c>
      <c r="F100">
        <v>1</v>
      </c>
      <c r="G100">
        <v>0</v>
      </c>
      <c r="H100" t="s">
        <v>28</v>
      </c>
      <c r="I100">
        <v>1</v>
      </c>
      <c r="K100">
        <v>1</v>
      </c>
      <c r="N100" t="s">
        <v>448</v>
      </c>
      <c r="O100" t="s">
        <v>449</v>
      </c>
      <c r="P100" t="s">
        <v>24</v>
      </c>
      <c r="Q100" t="s">
        <v>24</v>
      </c>
    </row>
    <row r="101" spans="1:17" x14ac:dyDescent="0.25">
      <c r="A101">
        <v>101</v>
      </c>
      <c r="B101" t="s">
        <v>450</v>
      </c>
      <c r="D101" t="s">
        <v>451</v>
      </c>
      <c r="E101" t="s">
        <v>20</v>
      </c>
      <c r="F101">
        <v>1</v>
      </c>
      <c r="G101">
        <v>0</v>
      </c>
      <c r="H101" t="s">
        <v>450</v>
      </c>
      <c r="I101">
        <v>1</v>
      </c>
      <c r="K101">
        <v>0</v>
      </c>
      <c r="N101" t="s">
        <v>452</v>
      </c>
      <c r="O101" t="s">
        <v>453</v>
      </c>
      <c r="P101" t="s">
        <v>24</v>
      </c>
      <c r="Q101" t="s">
        <v>24</v>
      </c>
    </row>
    <row r="102" spans="1:17" x14ac:dyDescent="0.25">
      <c r="A102">
        <v>102</v>
      </c>
      <c r="B102" t="s">
        <v>454</v>
      </c>
      <c r="D102" t="s">
        <v>455</v>
      </c>
      <c r="E102" t="s">
        <v>27</v>
      </c>
      <c r="F102">
        <v>0</v>
      </c>
      <c r="G102">
        <v>0</v>
      </c>
      <c r="H102" t="s">
        <v>57</v>
      </c>
      <c r="I102">
        <v>1</v>
      </c>
      <c r="K102">
        <v>1</v>
      </c>
      <c r="M102" t="s">
        <v>164</v>
      </c>
      <c r="N102" t="s">
        <v>456</v>
      </c>
      <c r="O102" t="s">
        <v>1167</v>
      </c>
      <c r="P102" t="s">
        <v>24</v>
      </c>
      <c r="Q102" t="s">
        <v>24</v>
      </c>
    </row>
    <row r="103" spans="1:17" x14ac:dyDescent="0.25">
      <c r="A103">
        <v>103</v>
      </c>
      <c r="B103" t="s">
        <v>457</v>
      </c>
      <c r="D103" t="s">
        <v>458</v>
      </c>
      <c r="E103" t="s">
        <v>27</v>
      </c>
      <c r="F103">
        <v>1</v>
      </c>
      <c r="G103">
        <v>0</v>
      </c>
      <c r="H103" t="s">
        <v>28</v>
      </c>
      <c r="I103">
        <v>1</v>
      </c>
      <c r="K103">
        <v>1</v>
      </c>
      <c r="N103" t="s">
        <v>459</v>
      </c>
      <c r="O103" t="s">
        <v>460</v>
      </c>
      <c r="P103" t="s">
        <v>24</v>
      </c>
      <c r="Q103" t="s">
        <v>24</v>
      </c>
    </row>
    <row r="104" spans="1:17" x14ac:dyDescent="0.25">
      <c r="A104">
        <v>104</v>
      </c>
      <c r="B104" t="s">
        <v>461</v>
      </c>
      <c r="D104" t="s">
        <v>462</v>
      </c>
      <c r="E104" t="s">
        <v>27</v>
      </c>
      <c r="F104">
        <v>1</v>
      </c>
      <c r="G104">
        <v>0</v>
      </c>
      <c r="H104" t="s">
        <v>28</v>
      </c>
      <c r="I104">
        <v>1</v>
      </c>
      <c r="K104">
        <v>1</v>
      </c>
      <c r="N104" t="s">
        <v>463</v>
      </c>
      <c r="O104" t="s">
        <v>464</v>
      </c>
      <c r="P104" t="s">
        <v>24</v>
      </c>
      <c r="Q104" t="s">
        <v>24</v>
      </c>
    </row>
    <row r="105" spans="1:17" x14ac:dyDescent="0.25">
      <c r="A105">
        <v>105</v>
      </c>
      <c r="B105" t="s">
        <v>465</v>
      </c>
      <c r="D105" t="s">
        <v>466</v>
      </c>
      <c r="E105" t="s">
        <v>27</v>
      </c>
      <c r="F105">
        <v>1</v>
      </c>
      <c r="G105">
        <v>0</v>
      </c>
      <c r="H105" t="s">
        <v>96</v>
      </c>
      <c r="I105">
        <v>1</v>
      </c>
      <c r="K105">
        <v>1</v>
      </c>
      <c r="N105" t="s">
        <v>467</v>
      </c>
      <c r="O105" t="s">
        <v>468</v>
      </c>
      <c r="P105" t="s">
        <v>24</v>
      </c>
      <c r="Q105" t="s">
        <v>24</v>
      </c>
    </row>
    <row r="106" spans="1:17" x14ac:dyDescent="0.25">
      <c r="A106">
        <v>106</v>
      </c>
      <c r="B106" t="s">
        <v>469</v>
      </c>
      <c r="D106" t="s">
        <v>470</v>
      </c>
      <c r="E106" t="s">
        <v>27</v>
      </c>
      <c r="F106">
        <v>0</v>
      </c>
      <c r="G106">
        <v>0</v>
      </c>
      <c r="H106" t="s">
        <v>57</v>
      </c>
      <c r="I106">
        <v>1</v>
      </c>
      <c r="K106">
        <v>1</v>
      </c>
      <c r="M106" t="s">
        <v>74</v>
      </c>
      <c r="N106" t="s">
        <v>471</v>
      </c>
      <c r="O106" t="s">
        <v>1168</v>
      </c>
      <c r="P106" t="s">
        <v>24</v>
      </c>
      <c r="Q106" t="s">
        <v>24</v>
      </c>
    </row>
    <row r="107" spans="1:17" x14ac:dyDescent="0.25">
      <c r="A107">
        <v>107</v>
      </c>
      <c r="B107" t="s">
        <v>472</v>
      </c>
      <c r="D107" t="s">
        <v>473</v>
      </c>
      <c r="E107" t="s">
        <v>27</v>
      </c>
      <c r="F107">
        <v>0</v>
      </c>
      <c r="G107">
        <v>0</v>
      </c>
      <c r="H107" t="s">
        <v>57</v>
      </c>
      <c r="I107">
        <v>1</v>
      </c>
      <c r="K107">
        <v>1</v>
      </c>
      <c r="M107" t="s">
        <v>114</v>
      </c>
      <c r="N107" t="s">
        <v>474</v>
      </c>
      <c r="O107" t="s">
        <v>475</v>
      </c>
      <c r="P107" t="s">
        <v>24</v>
      </c>
      <c r="Q107" t="s">
        <v>24</v>
      </c>
    </row>
    <row r="108" spans="1:17" x14ac:dyDescent="0.25">
      <c r="A108">
        <v>108</v>
      </c>
      <c r="B108" t="s">
        <v>476</v>
      </c>
      <c r="C108" t="s">
        <v>477</v>
      </c>
      <c r="D108" t="s">
        <v>478</v>
      </c>
      <c r="E108" t="s">
        <v>27</v>
      </c>
      <c r="F108">
        <v>1</v>
      </c>
      <c r="G108">
        <v>1</v>
      </c>
      <c r="H108" t="s">
        <v>477</v>
      </c>
      <c r="I108">
        <v>1</v>
      </c>
      <c r="K108">
        <v>0</v>
      </c>
      <c r="N108" t="s">
        <v>479</v>
      </c>
      <c r="O108" t="s">
        <v>480</v>
      </c>
      <c r="P108" t="s">
        <v>24</v>
      </c>
      <c r="Q108" t="s">
        <v>24</v>
      </c>
    </row>
    <row r="109" spans="1:17" x14ac:dyDescent="0.25">
      <c r="A109">
        <v>109</v>
      </c>
      <c r="B109" t="s">
        <v>481</v>
      </c>
      <c r="D109" t="s">
        <v>482</v>
      </c>
      <c r="E109" t="s">
        <v>27</v>
      </c>
      <c r="F109">
        <v>1</v>
      </c>
      <c r="G109">
        <v>0</v>
      </c>
      <c r="H109" t="s">
        <v>483</v>
      </c>
      <c r="I109">
        <v>0</v>
      </c>
      <c r="K109">
        <v>0</v>
      </c>
      <c r="N109" t="s">
        <v>484</v>
      </c>
      <c r="O109" t="s">
        <v>485</v>
      </c>
      <c r="P109" t="s">
        <v>24</v>
      </c>
      <c r="Q109" t="s">
        <v>24</v>
      </c>
    </row>
    <row r="110" spans="1:17" x14ac:dyDescent="0.25">
      <c r="A110">
        <v>110</v>
      </c>
      <c r="B110" t="s">
        <v>486</v>
      </c>
      <c r="D110" t="s">
        <v>487</v>
      </c>
      <c r="E110" t="s">
        <v>20</v>
      </c>
      <c r="F110">
        <v>1</v>
      </c>
      <c r="G110">
        <v>0</v>
      </c>
      <c r="H110" t="s">
        <v>254</v>
      </c>
      <c r="I110">
        <v>0</v>
      </c>
      <c r="K110">
        <v>0</v>
      </c>
      <c r="N110" t="s">
        <v>488</v>
      </c>
      <c r="O110" t="s">
        <v>1169</v>
      </c>
      <c r="P110" t="s">
        <v>24</v>
      </c>
      <c r="Q110" t="s">
        <v>24</v>
      </c>
    </row>
    <row r="111" spans="1:17" x14ac:dyDescent="0.25">
      <c r="A111">
        <v>111</v>
      </c>
      <c r="B111" t="s">
        <v>489</v>
      </c>
      <c r="D111" t="s">
        <v>490</v>
      </c>
      <c r="E111" t="s">
        <v>27</v>
      </c>
      <c r="F111">
        <v>1</v>
      </c>
      <c r="G111">
        <v>0</v>
      </c>
      <c r="H111" t="s">
        <v>491</v>
      </c>
      <c r="I111">
        <v>0</v>
      </c>
      <c r="K111">
        <v>0</v>
      </c>
      <c r="N111" t="s">
        <v>492</v>
      </c>
      <c r="O111" t="s">
        <v>493</v>
      </c>
      <c r="P111" t="s">
        <v>24</v>
      </c>
      <c r="Q111" t="s">
        <v>24</v>
      </c>
    </row>
    <row r="112" spans="1:17" x14ac:dyDescent="0.25">
      <c r="A112">
        <v>112</v>
      </c>
      <c r="B112" t="s">
        <v>494</v>
      </c>
      <c r="D112" t="s">
        <v>495</v>
      </c>
      <c r="E112" t="s">
        <v>27</v>
      </c>
      <c r="F112">
        <v>0</v>
      </c>
      <c r="G112">
        <v>0</v>
      </c>
      <c r="H112" t="s">
        <v>57</v>
      </c>
      <c r="I112">
        <v>1</v>
      </c>
      <c r="K112">
        <v>1</v>
      </c>
      <c r="M112" t="s">
        <v>74</v>
      </c>
      <c r="N112" t="s">
        <v>496</v>
      </c>
      <c r="O112" t="s">
        <v>497</v>
      </c>
      <c r="P112" t="s">
        <v>24</v>
      </c>
      <c r="Q112" t="s">
        <v>24</v>
      </c>
    </row>
    <row r="113" spans="1:17" x14ac:dyDescent="0.25">
      <c r="A113">
        <v>113</v>
      </c>
      <c r="B113" t="s">
        <v>498</v>
      </c>
      <c r="D113" t="s">
        <v>499</v>
      </c>
      <c r="E113" t="s">
        <v>27</v>
      </c>
      <c r="F113">
        <v>0</v>
      </c>
      <c r="G113">
        <v>0</v>
      </c>
      <c r="H113" t="s">
        <v>57</v>
      </c>
      <c r="I113">
        <v>1</v>
      </c>
      <c r="K113">
        <v>1</v>
      </c>
      <c r="M113" t="s">
        <v>144</v>
      </c>
      <c r="N113" t="s">
        <v>500</v>
      </c>
      <c r="O113" t="s">
        <v>501</v>
      </c>
      <c r="P113" t="s">
        <v>24</v>
      </c>
      <c r="Q113" t="s">
        <v>24</v>
      </c>
    </row>
    <row r="114" spans="1:17" x14ac:dyDescent="0.25">
      <c r="A114">
        <v>114</v>
      </c>
      <c r="B114" t="s">
        <v>502</v>
      </c>
      <c r="D114" t="s">
        <v>503</v>
      </c>
      <c r="E114" t="s">
        <v>27</v>
      </c>
      <c r="F114">
        <v>1</v>
      </c>
      <c r="G114">
        <v>0</v>
      </c>
      <c r="H114" t="s">
        <v>504</v>
      </c>
      <c r="I114">
        <v>0</v>
      </c>
      <c r="K114">
        <v>0</v>
      </c>
      <c r="N114" t="s">
        <v>505</v>
      </c>
      <c r="O114" t="s">
        <v>506</v>
      </c>
      <c r="P114" t="s">
        <v>24</v>
      </c>
      <c r="Q114" t="s">
        <v>24</v>
      </c>
    </row>
    <row r="115" spans="1:17" x14ac:dyDescent="0.25">
      <c r="A115">
        <v>115</v>
      </c>
      <c r="B115" t="s">
        <v>507</v>
      </c>
      <c r="D115" t="s">
        <v>508</v>
      </c>
      <c r="E115" t="s">
        <v>39</v>
      </c>
      <c r="F115">
        <v>1</v>
      </c>
      <c r="G115">
        <v>0</v>
      </c>
      <c r="H115" t="s">
        <v>509</v>
      </c>
      <c r="I115">
        <v>0</v>
      </c>
      <c r="K115">
        <v>0</v>
      </c>
      <c r="N115" t="s">
        <v>510</v>
      </c>
      <c r="O115" t="s">
        <v>1170</v>
      </c>
      <c r="P115" t="s">
        <v>24</v>
      </c>
      <c r="Q115" t="s">
        <v>24</v>
      </c>
    </row>
    <row r="116" spans="1:17" x14ac:dyDescent="0.25">
      <c r="A116">
        <v>116</v>
      </c>
      <c r="B116" t="s">
        <v>511</v>
      </c>
      <c r="D116" t="s">
        <v>512</v>
      </c>
      <c r="E116" t="s">
        <v>27</v>
      </c>
      <c r="F116">
        <v>0</v>
      </c>
      <c r="G116">
        <v>0</v>
      </c>
      <c r="H116" t="s">
        <v>511</v>
      </c>
      <c r="I116">
        <v>1</v>
      </c>
      <c r="K116">
        <v>0</v>
      </c>
      <c r="P116" t="s">
        <v>24</v>
      </c>
      <c r="Q116" t="s">
        <v>24</v>
      </c>
    </row>
    <row r="117" spans="1:17" x14ac:dyDescent="0.25">
      <c r="A117">
        <v>117</v>
      </c>
      <c r="B117" t="s">
        <v>513</v>
      </c>
      <c r="D117" t="s">
        <v>514</v>
      </c>
      <c r="E117" t="s">
        <v>27</v>
      </c>
      <c r="F117">
        <v>1</v>
      </c>
      <c r="G117">
        <v>0</v>
      </c>
      <c r="H117" t="s">
        <v>28</v>
      </c>
      <c r="I117">
        <v>1</v>
      </c>
      <c r="K117">
        <v>1</v>
      </c>
      <c r="N117" t="s">
        <v>515</v>
      </c>
      <c r="O117" t="s">
        <v>516</v>
      </c>
      <c r="P117" t="s">
        <v>24</v>
      </c>
      <c r="Q117" t="s">
        <v>24</v>
      </c>
    </row>
    <row r="118" spans="1:17" x14ac:dyDescent="0.25">
      <c r="A118">
        <v>118</v>
      </c>
      <c r="B118" t="s">
        <v>517</v>
      </c>
      <c r="D118" t="s">
        <v>518</v>
      </c>
      <c r="E118" t="s">
        <v>39</v>
      </c>
      <c r="F118">
        <v>1</v>
      </c>
      <c r="G118">
        <v>0</v>
      </c>
      <c r="H118" t="s">
        <v>519</v>
      </c>
      <c r="I118">
        <v>0</v>
      </c>
      <c r="K118">
        <v>0</v>
      </c>
      <c r="N118" t="s">
        <v>520</v>
      </c>
      <c r="O118" t="s">
        <v>521</v>
      </c>
      <c r="P118" t="s">
        <v>24</v>
      </c>
      <c r="Q118" t="s">
        <v>24</v>
      </c>
    </row>
    <row r="119" spans="1:17" x14ac:dyDescent="0.25">
      <c r="A119">
        <v>119</v>
      </c>
      <c r="B119" t="s">
        <v>522</v>
      </c>
      <c r="D119" t="s">
        <v>523</v>
      </c>
      <c r="E119" t="s">
        <v>27</v>
      </c>
      <c r="F119">
        <v>0</v>
      </c>
      <c r="G119">
        <v>0</v>
      </c>
      <c r="H119" t="s">
        <v>341</v>
      </c>
      <c r="I119">
        <v>1</v>
      </c>
      <c r="K119">
        <v>0</v>
      </c>
      <c r="P119" t="s">
        <v>24</v>
      </c>
      <c r="Q119" t="s">
        <v>24</v>
      </c>
    </row>
    <row r="120" spans="1:17" x14ac:dyDescent="0.25">
      <c r="A120">
        <v>120</v>
      </c>
      <c r="B120" t="s">
        <v>524</v>
      </c>
      <c r="C120" t="s">
        <v>525</v>
      </c>
      <c r="D120" t="s">
        <v>526</v>
      </c>
      <c r="E120" t="s">
        <v>20</v>
      </c>
      <c r="F120">
        <v>1</v>
      </c>
      <c r="G120">
        <v>0</v>
      </c>
      <c r="H120" t="s">
        <v>527</v>
      </c>
      <c r="I120">
        <v>1</v>
      </c>
      <c r="K120">
        <v>0</v>
      </c>
      <c r="N120" t="s">
        <v>528</v>
      </c>
      <c r="O120" t="s">
        <v>529</v>
      </c>
      <c r="P120" t="s">
        <v>24</v>
      </c>
      <c r="Q120" t="s">
        <v>24</v>
      </c>
    </row>
    <row r="121" spans="1:17" x14ac:dyDescent="0.25">
      <c r="A121">
        <v>121</v>
      </c>
      <c r="B121" t="s">
        <v>530</v>
      </c>
      <c r="C121" t="s">
        <v>531</v>
      </c>
      <c r="D121" t="s">
        <v>532</v>
      </c>
      <c r="E121" t="s">
        <v>39</v>
      </c>
      <c r="F121">
        <v>1</v>
      </c>
      <c r="G121">
        <v>0</v>
      </c>
      <c r="H121" t="s">
        <v>533</v>
      </c>
      <c r="I121">
        <v>0</v>
      </c>
      <c r="K121">
        <v>0</v>
      </c>
      <c r="N121" t="s">
        <v>534</v>
      </c>
      <c r="O121" t="s">
        <v>535</v>
      </c>
      <c r="P121" t="s">
        <v>24</v>
      </c>
      <c r="Q121" t="s">
        <v>24</v>
      </c>
    </row>
    <row r="122" spans="1:17" x14ac:dyDescent="0.25">
      <c r="A122">
        <v>122</v>
      </c>
      <c r="B122" t="s">
        <v>536</v>
      </c>
      <c r="D122" t="s">
        <v>537</v>
      </c>
      <c r="E122" t="s">
        <v>27</v>
      </c>
      <c r="F122">
        <v>1</v>
      </c>
      <c r="G122">
        <v>1</v>
      </c>
      <c r="H122" t="s">
        <v>536</v>
      </c>
      <c r="I122">
        <v>1</v>
      </c>
      <c r="K122">
        <v>0</v>
      </c>
      <c r="N122" t="s">
        <v>538</v>
      </c>
      <c r="O122" t="s">
        <v>539</v>
      </c>
      <c r="P122" t="s">
        <v>24</v>
      </c>
      <c r="Q122" t="s">
        <v>24</v>
      </c>
    </row>
    <row r="123" spans="1:17" x14ac:dyDescent="0.25">
      <c r="A123">
        <v>123</v>
      </c>
      <c r="B123" t="s">
        <v>540</v>
      </c>
      <c r="D123" t="s">
        <v>541</v>
      </c>
      <c r="E123" t="s">
        <v>27</v>
      </c>
      <c r="F123">
        <v>1</v>
      </c>
      <c r="G123">
        <v>1</v>
      </c>
      <c r="H123" t="s">
        <v>542</v>
      </c>
      <c r="I123">
        <v>1</v>
      </c>
      <c r="K123">
        <v>0</v>
      </c>
      <c r="N123" t="s">
        <v>543</v>
      </c>
      <c r="O123" t="s">
        <v>544</v>
      </c>
      <c r="P123" t="s">
        <v>24</v>
      </c>
      <c r="Q123" t="s">
        <v>24</v>
      </c>
    </row>
    <row r="124" spans="1:17" x14ac:dyDescent="0.25">
      <c r="A124">
        <v>124</v>
      </c>
      <c r="B124" t="s">
        <v>545</v>
      </c>
      <c r="D124" t="s">
        <v>546</v>
      </c>
      <c r="E124" t="s">
        <v>20</v>
      </c>
      <c r="F124">
        <v>1</v>
      </c>
      <c r="G124">
        <v>0</v>
      </c>
      <c r="H124" t="s">
        <v>545</v>
      </c>
      <c r="I124">
        <v>1</v>
      </c>
      <c r="K124">
        <v>0</v>
      </c>
      <c r="N124" t="s">
        <v>547</v>
      </c>
      <c r="O124" t="s">
        <v>548</v>
      </c>
      <c r="P124" t="s">
        <v>24</v>
      </c>
      <c r="Q124" t="s">
        <v>24</v>
      </c>
    </row>
    <row r="125" spans="1:17" x14ac:dyDescent="0.25">
      <c r="A125">
        <v>125</v>
      </c>
      <c r="B125" t="s">
        <v>549</v>
      </c>
      <c r="C125" t="s">
        <v>550</v>
      </c>
      <c r="D125" t="s">
        <v>551</v>
      </c>
      <c r="E125" t="s">
        <v>27</v>
      </c>
      <c r="F125">
        <v>1</v>
      </c>
      <c r="G125">
        <v>0</v>
      </c>
      <c r="H125" t="s">
        <v>28</v>
      </c>
      <c r="I125">
        <v>1</v>
      </c>
      <c r="K125">
        <v>1</v>
      </c>
      <c r="N125" t="s">
        <v>552</v>
      </c>
      <c r="O125" t="s">
        <v>553</v>
      </c>
      <c r="P125" t="s">
        <v>24</v>
      </c>
      <c r="Q125" t="s">
        <v>24</v>
      </c>
    </row>
    <row r="126" spans="1:17" x14ac:dyDescent="0.25">
      <c r="A126">
        <v>126</v>
      </c>
      <c r="B126" t="s">
        <v>554</v>
      </c>
      <c r="D126" t="s">
        <v>555</v>
      </c>
      <c r="E126" t="s">
        <v>39</v>
      </c>
      <c r="F126">
        <v>1</v>
      </c>
      <c r="G126">
        <v>0</v>
      </c>
      <c r="H126" t="s">
        <v>556</v>
      </c>
      <c r="I126">
        <v>1</v>
      </c>
      <c r="K126">
        <v>0</v>
      </c>
      <c r="N126" t="s">
        <v>557</v>
      </c>
      <c r="O126" t="s">
        <v>558</v>
      </c>
      <c r="P126" t="s">
        <v>24</v>
      </c>
      <c r="Q126" t="s">
        <v>24</v>
      </c>
    </row>
    <row r="127" spans="1:17" x14ac:dyDescent="0.25">
      <c r="A127">
        <v>127</v>
      </c>
      <c r="B127" t="s">
        <v>559</v>
      </c>
      <c r="D127" t="s">
        <v>560</v>
      </c>
      <c r="E127" t="s">
        <v>192</v>
      </c>
      <c r="F127">
        <v>1</v>
      </c>
      <c r="G127">
        <v>0</v>
      </c>
      <c r="H127" t="s">
        <v>341</v>
      </c>
      <c r="I127">
        <v>1</v>
      </c>
      <c r="K127">
        <v>0</v>
      </c>
      <c r="N127" t="s">
        <v>561</v>
      </c>
      <c r="O127" t="s">
        <v>562</v>
      </c>
      <c r="P127" t="s">
        <v>24</v>
      </c>
      <c r="Q127" t="s">
        <v>24</v>
      </c>
    </row>
    <row r="128" spans="1:17" x14ac:dyDescent="0.25">
      <c r="A128">
        <v>128</v>
      </c>
      <c r="B128" t="s">
        <v>563</v>
      </c>
      <c r="D128" t="s">
        <v>564</v>
      </c>
      <c r="E128" t="s">
        <v>27</v>
      </c>
      <c r="F128">
        <v>1</v>
      </c>
      <c r="G128">
        <v>0</v>
      </c>
      <c r="H128" t="s">
        <v>565</v>
      </c>
      <c r="I128">
        <v>1</v>
      </c>
      <c r="K128">
        <v>0</v>
      </c>
      <c r="N128" t="s">
        <v>566</v>
      </c>
      <c r="O128" t="s">
        <v>567</v>
      </c>
      <c r="P128" t="s">
        <v>24</v>
      </c>
      <c r="Q128" t="s">
        <v>24</v>
      </c>
    </row>
    <row r="129" spans="1:17" x14ac:dyDescent="0.25">
      <c r="A129">
        <v>129</v>
      </c>
      <c r="B129" t="s">
        <v>568</v>
      </c>
      <c r="D129" t="s">
        <v>569</v>
      </c>
      <c r="E129" t="s">
        <v>27</v>
      </c>
      <c r="F129">
        <v>0</v>
      </c>
      <c r="G129">
        <v>0</v>
      </c>
      <c r="H129" t="s">
        <v>57</v>
      </c>
      <c r="I129">
        <v>1</v>
      </c>
      <c r="K129">
        <v>1</v>
      </c>
      <c r="M129" t="s">
        <v>78</v>
      </c>
      <c r="N129" t="s">
        <v>570</v>
      </c>
      <c r="O129" t="s">
        <v>1171</v>
      </c>
      <c r="P129" t="s">
        <v>24</v>
      </c>
      <c r="Q129" t="s">
        <v>24</v>
      </c>
    </row>
    <row r="130" spans="1:17" x14ac:dyDescent="0.25">
      <c r="A130">
        <v>130</v>
      </c>
      <c r="B130" t="s">
        <v>571</v>
      </c>
      <c r="D130" t="s">
        <v>572</v>
      </c>
      <c r="E130" t="s">
        <v>27</v>
      </c>
      <c r="F130">
        <v>1</v>
      </c>
      <c r="G130">
        <v>0</v>
      </c>
      <c r="H130" t="s">
        <v>573</v>
      </c>
      <c r="I130">
        <v>1</v>
      </c>
      <c r="K130">
        <v>1</v>
      </c>
      <c r="N130" t="s">
        <v>574</v>
      </c>
      <c r="O130" t="s">
        <v>575</v>
      </c>
      <c r="P130" t="s">
        <v>24</v>
      </c>
      <c r="Q130" t="s">
        <v>24</v>
      </c>
    </row>
    <row r="131" spans="1:17" x14ac:dyDescent="0.25">
      <c r="A131">
        <v>131</v>
      </c>
      <c r="B131" t="s">
        <v>576</v>
      </c>
      <c r="D131" t="s">
        <v>577</v>
      </c>
      <c r="E131" t="s">
        <v>27</v>
      </c>
      <c r="F131">
        <v>0</v>
      </c>
      <c r="G131">
        <v>0</v>
      </c>
      <c r="H131" t="s">
        <v>57</v>
      </c>
      <c r="I131">
        <v>1</v>
      </c>
      <c r="K131">
        <v>1</v>
      </c>
      <c r="M131" t="s">
        <v>92</v>
      </c>
      <c r="N131" t="s">
        <v>578</v>
      </c>
      <c r="O131" t="s">
        <v>1172</v>
      </c>
      <c r="P131" t="s">
        <v>24</v>
      </c>
      <c r="Q131" t="s">
        <v>24</v>
      </c>
    </row>
    <row r="132" spans="1:17" x14ac:dyDescent="0.25">
      <c r="A132">
        <v>132</v>
      </c>
      <c r="B132" t="s">
        <v>579</v>
      </c>
      <c r="D132" t="s">
        <v>580</v>
      </c>
      <c r="E132" t="s">
        <v>27</v>
      </c>
      <c r="F132">
        <v>0</v>
      </c>
      <c r="G132">
        <v>0</v>
      </c>
      <c r="H132" t="s">
        <v>57</v>
      </c>
      <c r="I132">
        <v>1</v>
      </c>
      <c r="K132">
        <v>1</v>
      </c>
      <c r="M132" t="s">
        <v>74</v>
      </c>
      <c r="P132" t="s">
        <v>24</v>
      </c>
      <c r="Q132" t="s">
        <v>24</v>
      </c>
    </row>
    <row r="133" spans="1:17" x14ac:dyDescent="0.25">
      <c r="A133">
        <v>133</v>
      </c>
      <c r="B133" t="s">
        <v>581</v>
      </c>
      <c r="D133" t="s">
        <v>582</v>
      </c>
      <c r="E133" t="s">
        <v>27</v>
      </c>
      <c r="F133">
        <v>1</v>
      </c>
      <c r="G133">
        <v>0</v>
      </c>
      <c r="H133" t="s">
        <v>96</v>
      </c>
      <c r="I133">
        <v>1</v>
      </c>
      <c r="K133">
        <v>1</v>
      </c>
      <c r="N133" t="s">
        <v>583</v>
      </c>
      <c r="O133" t="s">
        <v>584</v>
      </c>
      <c r="P133" t="s">
        <v>24</v>
      </c>
      <c r="Q133" t="s">
        <v>24</v>
      </c>
    </row>
    <row r="134" spans="1:17" x14ac:dyDescent="0.25">
      <c r="A134">
        <v>134</v>
      </c>
      <c r="B134" t="s">
        <v>585</v>
      </c>
      <c r="D134" t="s">
        <v>586</v>
      </c>
      <c r="E134" t="s">
        <v>39</v>
      </c>
      <c r="F134">
        <v>1</v>
      </c>
      <c r="G134">
        <v>0</v>
      </c>
      <c r="H134" t="s">
        <v>587</v>
      </c>
      <c r="I134">
        <v>0</v>
      </c>
      <c r="K134">
        <v>0</v>
      </c>
      <c r="N134" t="s">
        <v>588</v>
      </c>
      <c r="O134" t="s">
        <v>1173</v>
      </c>
      <c r="P134" t="s">
        <v>24</v>
      </c>
      <c r="Q134" t="s">
        <v>24</v>
      </c>
    </row>
    <row r="135" spans="1:17" x14ac:dyDescent="0.25">
      <c r="A135">
        <v>135</v>
      </c>
      <c r="B135" t="s">
        <v>589</v>
      </c>
      <c r="D135" t="s">
        <v>590</v>
      </c>
      <c r="E135" t="s">
        <v>39</v>
      </c>
      <c r="F135">
        <v>1</v>
      </c>
      <c r="G135">
        <v>0</v>
      </c>
      <c r="H135" t="s">
        <v>28</v>
      </c>
      <c r="I135">
        <v>1</v>
      </c>
      <c r="K135">
        <v>0</v>
      </c>
      <c r="N135" t="s">
        <v>591</v>
      </c>
      <c r="O135" t="s">
        <v>592</v>
      </c>
      <c r="P135" t="s">
        <v>24</v>
      </c>
      <c r="Q135" t="s">
        <v>24</v>
      </c>
    </row>
    <row r="136" spans="1:17" x14ac:dyDescent="0.25">
      <c r="A136">
        <v>474</v>
      </c>
      <c r="B136" t="s">
        <v>593</v>
      </c>
      <c r="C136" t="s">
        <v>24</v>
      </c>
      <c r="D136" t="s">
        <v>594</v>
      </c>
      <c r="F136">
        <v>1</v>
      </c>
      <c r="G136">
        <v>0</v>
      </c>
      <c r="I136">
        <v>0</v>
      </c>
      <c r="J136" t="s">
        <v>24</v>
      </c>
      <c r="K136">
        <v>0</v>
      </c>
      <c r="L136" t="s">
        <v>24</v>
      </c>
      <c r="M136" t="s">
        <v>24</v>
      </c>
      <c r="N136" t="s">
        <v>595</v>
      </c>
      <c r="P136" t="s">
        <v>24</v>
      </c>
      <c r="Q136" t="s">
        <v>24</v>
      </c>
    </row>
    <row r="137" spans="1:17" x14ac:dyDescent="0.25">
      <c r="A137">
        <v>475</v>
      </c>
      <c r="C137" t="s">
        <v>24</v>
      </c>
      <c r="F137">
        <v>1</v>
      </c>
      <c r="G137">
        <v>0</v>
      </c>
      <c r="I137">
        <v>1</v>
      </c>
      <c r="J137" t="s">
        <v>24</v>
      </c>
      <c r="K137">
        <v>0</v>
      </c>
      <c r="L137" t="s">
        <v>24</v>
      </c>
      <c r="M137" t="s">
        <v>24</v>
      </c>
      <c r="P137" t="s">
        <v>24</v>
      </c>
      <c r="Q137" t="s">
        <v>24</v>
      </c>
    </row>
    <row r="138" spans="1:17" x14ac:dyDescent="0.25">
      <c r="A138">
        <v>136</v>
      </c>
      <c r="B138" t="s">
        <v>596</v>
      </c>
      <c r="D138" t="s">
        <v>597</v>
      </c>
      <c r="E138" t="s">
        <v>39</v>
      </c>
      <c r="F138">
        <v>1</v>
      </c>
      <c r="G138">
        <v>0</v>
      </c>
      <c r="H138" t="s">
        <v>598</v>
      </c>
      <c r="I138">
        <v>0</v>
      </c>
      <c r="K138">
        <v>0</v>
      </c>
      <c r="N138" t="s">
        <v>599</v>
      </c>
      <c r="O138" t="s">
        <v>599</v>
      </c>
      <c r="P138" t="s">
        <v>24</v>
      </c>
      <c r="Q138" t="s">
        <v>24</v>
      </c>
    </row>
    <row r="139" spans="1:17" x14ac:dyDescent="0.25">
      <c r="A139">
        <v>137</v>
      </c>
      <c r="B139" t="s">
        <v>600</v>
      </c>
      <c r="D139" t="s">
        <v>601</v>
      </c>
      <c r="E139" t="s">
        <v>27</v>
      </c>
      <c r="F139">
        <v>0</v>
      </c>
      <c r="G139">
        <v>0</v>
      </c>
      <c r="H139" t="s">
        <v>57</v>
      </c>
      <c r="I139">
        <v>1</v>
      </c>
      <c r="K139">
        <v>1</v>
      </c>
      <c r="M139" t="s">
        <v>78</v>
      </c>
      <c r="N139" t="s">
        <v>602</v>
      </c>
      <c r="O139" t="s">
        <v>1174</v>
      </c>
      <c r="P139" t="s">
        <v>24</v>
      </c>
      <c r="Q139" t="s">
        <v>24</v>
      </c>
    </row>
    <row r="140" spans="1:17" x14ac:dyDescent="0.25">
      <c r="A140">
        <v>138</v>
      </c>
      <c r="B140" t="s">
        <v>603</v>
      </c>
      <c r="D140" t="s">
        <v>604</v>
      </c>
      <c r="E140" t="s">
        <v>400</v>
      </c>
      <c r="F140">
        <v>0</v>
      </c>
      <c r="G140">
        <v>0</v>
      </c>
      <c r="H140" t="s">
        <v>57</v>
      </c>
      <c r="I140">
        <v>1</v>
      </c>
      <c r="K140">
        <v>1</v>
      </c>
      <c r="N140" t="s">
        <v>605</v>
      </c>
      <c r="O140" t="s">
        <v>1175</v>
      </c>
      <c r="P140" t="s">
        <v>24</v>
      </c>
      <c r="Q140" t="s">
        <v>24</v>
      </c>
    </row>
    <row r="141" spans="1:17" x14ac:dyDescent="0.25">
      <c r="A141">
        <v>139</v>
      </c>
      <c r="B141" t="s">
        <v>606</v>
      </c>
      <c r="D141" t="s">
        <v>607</v>
      </c>
      <c r="E141" t="s">
        <v>27</v>
      </c>
      <c r="F141">
        <v>1</v>
      </c>
      <c r="G141">
        <v>0</v>
      </c>
      <c r="H141" t="s">
        <v>28</v>
      </c>
      <c r="I141">
        <v>1</v>
      </c>
      <c r="K141">
        <v>1</v>
      </c>
      <c r="N141" t="s">
        <v>608</v>
      </c>
      <c r="O141" t="s">
        <v>609</v>
      </c>
      <c r="P141" t="s">
        <v>24</v>
      </c>
      <c r="Q141" t="s">
        <v>24</v>
      </c>
    </row>
    <row r="142" spans="1:17" x14ac:dyDescent="0.25">
      <c r="A142">
        <v>140</v>
      </c>
      <c r="B142" t="s">
        <v>610</v>
      </c>
      <c r="D142" t="s">
        <v>611</v>
      </c>
      <c r="E142" t="s">
        <v>27</v>
      </c>
      <c r="F142">
        <v>1</v>
      </c>
      <c r="G142">
        <v>0</v>
      </c>
      <c r="H142" t="s">
        <v>612</v>
      </c>
      <c r="I142">
        <v>0</v>
      </c>
      <c r="K142">
        <v>0</v>
      </c>
      <c r="N142" t="s">
        <v>613</v>
      </c>
      <c r="O142" t="s">
        <v>614</v>
      </c>
      <c r="P142" t="s">
        <v>24</v>
      </c>
      <c r="Q142" t="s">
        <v>24</v>
      </c>
    </row>
    <row r="143" spans="1:17" x14ac:dyDescent="0.25">
      <c r="A143">
        <v>141</v>
      </c>
      <c r="B143" t="s">
        <v>615</v>
      </c>
      <c r="C143" t="s">
        <v>616</v>
      </c>
      <c r="D143" t="s">
        <v>617</v>
      </c>
      <c r="E143" t="s">
        <v>27</v>
      </c>
      <c r="F143">
        <v>1</v>
      </c>
      <c r="G143">
        <v>0</v>
      </c>
      <c r="H143" t="s">
        <v>618</v>
      </c>
      <c r="I143">
        <v>0</v>
      </c>
      <c r="K143">
        <v>0</v>
      </c>
      <c r="N143" t="s">
        <v>619</v>
      </c>
      <c r="O143" t="s">
        <v>620</v>
      </c>
      <c r="P143" t="s">
        <v>24</v>
      </c>
      <c r="Q143" t="s">
        <v>24</v>
      </c>
    </row>
    <row r="144" spans="1:17" x14ac:dyDescent="0.25">
      <c r="A144">
        <v>142</v>
      </c>
      <c r="B144" t="s">
        <v>621</v>
      </c>
      <c r="C144" t="s">
        <v>622</v>
      </c>
      <c r="D144" t="s">
        <v>623</v>
      </c>
      <c r="E144" t="s">
        <v>27</v>
      </c>
      <c r="F144">
        <v>1</v>
      </c>
      <c r="G144">
        <v>0</v>
      </c>
      <c r="H144" t="s">
        <v>624</v>
      </c>
      <c r="I144">
        <v>1</v>
      </c>
      <c r="K144">
        <v>0</v>
      </c>
      <c r="N144" t="s">
        <v>625</v>
      </c>
      <c r="O144" t="s">
        <v>626</v>
      </c>
      <c r="P144" t="s">
        <v>24</v>
      </c>
      <c r="Q144" t="s">
        <v>24</v>
      </c>
    </row>
    <row r="145" spans="1:17" x14ac:dyDescent="0.25">
      <c r="A145">
        <v>143</v>
      </c>
      <c r="B145" t="s">
        <v>627</v>
      </c>
      <c r="D145" t="s">
        <v>628</v>
      </c>
      <c r="E145" t="s">
        <v>172</v>
      </c>
      <c r="F145">
        <v>1</v>
      </c>
      <c r="G145">
        <v>0</v>
      </c>
      <c r="H145" t="s">
        <v>629</v>
      </c>
      <c r="I145">
        <v>1</v>
      </c>
      <c r="J145" t="s">
        <v>630</v>
      </c>
      <c r="K145">
        <v>0</v>
      </c>
      <c r="N145" t="s">
        <v>631</v>
      </c>
      <c r="O145" t="s">
        <v>632</v>
      </c>
      <c r="P145" t="s">
        <v>24</v>
      </c>
      <c r="Q145" t="s">
        <v>24</v>
      </c>
    </row>
    <row r="146" spans="1:17" x14ac:dyDescent="0.25">
      <c r="A146">
        <v>144</v>
      </c>
      <c r="B146" t="s">
        <v>633</v>
      </c>
      <c r="D146" t="s">
        <v>634</v>
      </c>
      <c r="E146" t="s">
        <v>192</v>
      </c>
      <c r="F146">
        <v>1</v>
      </c>
      <c r="G146">
        <v>0</v>
      </c>
      <c r="H146" t="s">
        <v>635</v>
      </c>
      <c r="I146">
        <v>0</v>
      </c>
      <c r="K146">
        <v>0</v>
      </c>
      <c r="N146" t="s">
        <v>636</v>
      </c>
      <c r="O146" t="s">
        <v>637</v>
      </c>
      <c r="P146" t="s">
        <v>24</v>
      </c>
      <c r="Q146" t="s">
        <v>24</v>
      </c>
    </row>
    <row r="147" spans="1:17" x14ac:dyDescent="0.25">
      <c r="A147">
        <v>145</v>
      </c>
      <c r="B147" t="s">
        <v>638</v>
      </c>
      <c r="D147" t="s">
        <v>639</v>
      </c>
      <c r="E147" t="s">
        <v>27</v>
      </c>
      <c r="F147">
        <v>0</v>
      </c>
      <c r="G147">
        <v>0</v>
      </c>
      <c r="H147" t="s">
        <v>640</v>
      </c>
      <c r="I147">
        <v>1</v>
      </c>
      <c r="K147">
        <v>0</v>
      </c>
      <c r="N147" t="s">
        <v>641</v>
      </c>
      <c r="O147" t="s">
        <v>1176</v>
      </c>
      <c r="P147" t="s">
        <v>24</v>
      </c>
      <c r="Q147" t="s">
        <v>24</v>
      </c>
    </row>
    <row r="148" spans="1:17" x14ac:dyDescent="0.25">
      <c r="A148">
        <v>146</v>
      </c>
      <c r="B148" t="s">
        <v>642</v>
      </c>
      <c r="D148" t="s">
        <v>643</v>
      </c>
      <c r="E148" t="s">
        <v>27</v>
      </c>
      <c r="F148">
        <v>1</v>
      </c>
      <c r="G148">
        <v>0</v>
      </c>
      <c r="H148" t="s">
        <v>28</v>
      </c>
      <c r="I148">
        <v>1</v>
      </c>
      <c r="K148">
        <v>0</v>
      </c>
      <c r="N148" t="s">
        <v>644</v>
      </c>
      <c r="O148" t="s">
        <v>645</v>
      </c>
      <c r="P148" t="s">
        <v>24</v>
      </c>
      <c r="Q148" t="s">
        <v>24</v>
      </c>
    </row>
    <row r="149" spans="1:17" x14ac:dyDescent="0.25">
      <c r="A149">
        <v>147</v>
      </c>
      <c r="B149" t="s">
        <v>646</v>
      </c>
      <c r="C149" t="s">
        <v>304</v>
      </c>
      <c r="D149" t="s">
        <v>647</v>
      </c>
      <c r="E149" t="s">
        <v>27</v>
      </c>
      <c r="F149">
        <v>1</v>
      </c>
      <c r="G149">
        <v>0</v>
      </c>
      <c r="H149" t="s">
        <v>304</v>
      </c>
      <c r="I149">
        <v>0</v>
      </c>
      <c r="K149">
        <v>0</v>
      </c>
      <c r="N149" t="s">
        <v>648</v>
      </c>
      <c r="O149" t="s">
        <v>649</v>
      </c>
      <c r="P149" t="s">
        <v>24</v>
      </c>
      <c r="Q149" t="s">
        <v>24</v>
      </c>
    </row>
    <row r="150" spans="1:17" x14ac:dyDescent="0.25">
      <c r="A150">
        <v>148</v>
      </c>
      <c r="B150" t="s">
        <v>650</v>
      </c>
      <c r="D150" t="s">
        <v>651</v>
      </c>
      <c r="E150" t="s">
        <v>27</v>
      </c>
      <c r="F150">
        <v>0</v>
      </c>
      <c r="G150">
        <v>0</v>
      </c>
      <c r="H150" t="s">
        <v>57</v>
      </c>
      <c r="I150">
        <v>1</v>
      </c>
      <c r="K150">
        <v>1</v>
      </c>
      <c r="M150" t="s">
        <v>74</v>
      </c>
      <c r="N150" t="s">
        <v>652</v>
      </c>
      <c r="O150" t="s">
        <v>1177</v>
      </c>
      <c r="P150" t="s">
        <v>24</v>
      </c>
      <c r="Q150" t="s">
        <v>24</v>
      </c>
    </row>
    <row r="151" spans="1:17" x14ac:dyDescent="0.25">
      <c r="A151">
        <v>149</v>
      </c>
      <c r="B151" t="s">
        <v>653</v>
      </c>
      <c r="D151" t="s">
        <v>654</v>
      </c>
      <c r="E151" t="s">
        <v>27</v>
      </c>
      <c r="F151">
        <v>0</v>
      </c>
      <c r="G151">
        <v>0</v>
      </c>
      <c r="H151" t="s">
        <v>57</v>
      </c>
      <c r="I151">
        <v>1</v>
      </c>
      <c r="K151">
        <v>1</v>
      </c>
      <c r="M151" t="s">
        <v>74</v>
      </c>
      <c r="N151" t="s">
        <v>655</v>
      </c>
      <c r="O151" t="s">
        <v>656</v>
      </c>
      <c r="P151" t="s">
        <v>24</v>
      </c>
      <c r="Q151" t="s">
        <v>24</v>
      </c>
    </row>
    <row r="152" spans="1:17" x14ac:dyDescent="0.25">
      <c r="A152">
        <v>150</v>
      </c>
      <c r="B152" t="s">
        <v>657</v>
      </c>
      <c r="D152" t="s">
        <v>658</v>
      </c>
      <c r="E152" t="s">
        <v>20</v>
      </c>
      <c r="F152">
        <v>1</v>
      </c>
      <c r="G152">
        <v>0</v>
      </c>
      <c r="H152" t="s">
        <v>659</v>
      </c>
      <c r="I152">
        <v>1</v>
      </c>
      <c r="K152">
        <v>0</v>
      </c>
      <c r="N152" t="s">
        <v>660</v>
      </c>
      <c r="O152" t="s">
        <v>661</v>
      </c>
      <c r="P152" t="s">
        <v>24</v>
      </c>
      <c r="Q152" t="s">
        <v>24</v>
      </c>
    </row>
    <row r="153" spans="1:17" x14ac:dyDescent="0.25">
      <c r="A153">
        <v>472</v>
      </c>
      <c r="B153" t="s">
        <v>662</v>
      </c>
      <c r="C153" t="s">
        <v>24</v>
      </c>
      <c r="D153" t="s">
        <v>663</v>
      </c>
      <c r="F153">
        <v>1</v>
      </c>
      <c r="G153">
        <v>0</v>
      </c>
      <c r="I153">
        <v>0</v>
      </c>
      <c r="J153" t="s">
        <v>24</v>
      </c>
      <c r="K153">
        <v>0</v>
      </c>
      <c r="L153" t="s">
        <v>24</v>
      </c>
      <c r="M153" t="s">
        <v>24</v>
      </c>
      <c r="O153" t="s">
        <v>1178</v>
      </c>
      <c r="P153" t="s">
        <v>24</v>
      </c>
      <c r="Q153" t="s">
        <v>24</v>
      </c>
    </row>
    <row r="154" spans="1:17" x14ac:dyDescent="0.25">
      <c r="A154">
        <v>151</v>
      </c>
      <c r="B154" t="s">
        <v>664</v>
      </c>
      <c r="D154" t="s">
        <v>665</v>
      </c>
      <c r="E154" t="s">
        <v>39</v>
      </c>
      <c r="F154">
        <v>1</v>
      </c>
      <c r="G154">
        <v>0</v>
      </c>
      <c r="H154" t="s">
        <v>666</v>
      </c>
      <c r="I154">
        <v>1</v>
      </c>
      <c r="K154">
        <v>0</v>
      </c>
      <c r="N154" t="s">
        <v>667</v>
      </c>
      <c r="O154" t="s">
        <v>668</v>
      </c>
      <c r="P154" t="s">
        <v>24</v>
      </c>
      <c r="Q154" t="s">
        <v>24</v>
      </c>
    </row>
    <row r="155" spans="1:17" x14ac:dyDescent="0.25">
      <c r="A155">
        <v>152</v>
      </c>
      <c r="B155" t="s">
        <v>669</v>
      </c>
      <c r="D155" t="s">
        <v>670</v>
      </c>
      <c r="E155" t="s">
        <v>27</v>
      </c>
      <c r="F155">
        <v>1</v>
      </c>
      <c r="G155">
        <v>0</v>
      </c>
      <c r="H155" t="s">
        <v>96</v>
      </c>
      <c r="I155">
        <v>1</v>
      </c>
      <c r="K155">
        <v>0</v>
      </c>
      <c r="N155" t="s">
        <v>671</v>
      </c>
      <c r="O155" t="s">
        <v>672</v>
      </c>
      <c r="P155" t="s">
        <v>24</v>
      </c>
      <c r="Q155" t="s">
        <v>24</v>
      </c>
    </row>
    <row r="156" spans="1:17" x14ac:dyDescent="0.25">
      <c r="A156">
        <v>153</v>
      </c>
      <c r="B156" t="s">
        <v>673</v>
      </c>
      <c r="C156" t="s">
        <v>674</v>
      </c>
      <c r="D156" t="s">
        <v>675</v>
      </c>
      <c r="E156" t="s">
        <v>27</v>
      </c>
      <c r="F156">
        <v>0</v>
      </c>
      <c r="G156">
        <v>0</v>
      </c>
      <c r="H156" t="s">
        <v>96</v>
      </c>
      <c r="I156">
        <v>1</v>
      </c>
      <c r="K156">
        <v>1</v>
      </c>
      <c r="N156" t="s">
        <v>676</v>
      </c>
      <c r="O156" t="s">
        <v>677</v>
      </c>
      <c r="P156" t="s">
        <v>24</v>
      </c>
      <c r="Q156" t="s">
        <v>24</v>
      </c>
    </row>
    <row r="157" spans="1:17" x14ac:dyDescent="0.25">
      <c r="A157">
        <v>154</v>
      </c>
      <c r="B157" t="s">
        <v>678</v>
      </c>
      <c r="D157" t="s">
        <v>679</v>
      </c>
      <c r="E157" t="s">
        <v>27</v>
      </c>
      <c r="F157">
        <v>1</v>
      </c>
      <c r="G157">
        <v>0</v>
      </c>
      <c r="H157" t="s">
        <v>28</v>
      </c>
      <c r="I157">
        <v>1</v>
      </c>
      <c r="K157">
        <v>1</v>
      </c>
      <c r="N157" t="s">
        <v>680</v>
      </c>
      <c r="O157" t="s">
        <v>681</v>
      </c>
      <c r="P157" t="s">
        <v>24</v>
      </c>
      <c r="Q157" t="s">
        <v>24</v>
      </c>
    </row>
    <row r="158" spans="1:17" x14ac:dyDescent="0.25">
      <c r="A158">
        <v>155</v>
      </c>
      <c r="B158" t="s">
        <v>682</v>
      </c>
      <c r="C158" t="s">
        <v>683</v>
      </c>
      <c r="D158" t="s">
        <v>684</v>
      </c>
      <c r="E158" t="s">
        <v>27</v>
      </c>
      <c r="F158">
        <v>0</v>
      </c>
      <c r="G158">
        <v>0</v>
      </c>
      <c r="H158" t="s">
        <v>57</v>
      </c>
      <c r="I158">
        <v>1</v>
      </c>
      <c r="K158">
        <v>1</v>
      </c>
      <c r="N158" t="s">
        <v>685</v>
      </c>
      <c r="O158" t="s">
        <v>1179</v>
      </c>
      <c r="P158" t="s">
        <v>24</v>
      </c>
      <c r="Q158" t="s">
        <v>24</v>
      </c>
    </row>
    <row r="159" spans="1:17" x14ac:dyDescent="0.25">
      <c r="A159">
        <v>156</v>
      </c>
      <c r="B159" t="s">
        <v>686</v>
      </c>
      <c r="D159" t="s">
        <v>687</v>
      </c>
      <c r="E159" t="s">
        <v>27</v>
      </c>
      <c r="F159">
        <v>0</v>
      </c>
      <c r="G159">
        <v>0</v>
      </c>
      <c r="H159" t="s">
        <v>57</v>
      </c>
      <c r="I159">
        <v>1</v>
      </c>
      <c r="K159">
        <v>1</v>
      </c>
      <c r="N159" t="s">
        <v>688</v>
      </c>
      <c r="O159" t="s">
        <v>1180</v>
      </c>
      <c r="P159" t="s">
        <v>24</v>
      </c>
      <c r="Q159" t="s">
        <v>24</v>
      </c>
    </row>
    <row r="160" spans="1:17" x14ac:dyDescent="0.25">
      <c r="A160">
        <v>157</v>
      </c>
      <c r="B160" t="s">
        <v>689</v>
      </c>
      <c r="C160" t="s">
        <v>690</v>
      </c>
      <c r="D160" t="s">
        <v>691</v>
      </c>
      <c r="E160" t="s">
        <v>20</v>
      </c>
      <c r="F160">
        <v>1</v>
      </c>
      <c r="G160">
        <v>0</v>
      </c>
      <c r="H160" t="s">
        <v>689</v>
      </c>
      <c r="I160">
        <v>0</v>
      </c>
      <c r="K160">
        <v>0</v>
      </c>
      <c r="N160" t="s">
        <v>692</v>
      </c>
      <c r="O160" t="s">
        <v>693</v>
      </c>
      <c r="P160" t="s">
        <v>24</v>
      </c>
      <c r="Q160" t="s">
        <v>24</v>
      </c>
    </row>
    <row r="161" spans="1:17" x14ac:dyDescent="0.25">
      <c r="A161">
        <v>158</v>
      </c>
      <c r="B161" t="s">
        <v>694</v>
      </c>
      <c r="D161" t="s">
        <v>695</v>
      </c>
      <c r="E161" t="s">
        <v>27</v>
      </c>
      <c r="F161">
        <v>0</v>
      </c>
      <c r="G161">
        <v>0</v>
      </c>
      <c r="H161" t="s">
        <v>57</v>
      </c>
      <c r="I161">
        <v>1</v>
      </c>
      <c r="K161">
        <v>1</v>
      </c>
      <c r="N161" t="s">
        <v>696</v>
      </c>
      <c r="O161" t="s">
        <v>1181</v>
      </c>
      <c r="P161" t="s">
        <v>24</v>
      </c>
      <c r="Q161" t="s">
        <v>24</v>
      </c>
    </row>
    <row r="162" spans="1:17" x14ac:dyDescent="0.25">
      <c r="A162">
        <v>159</v>
      </c>
      <c r="B162" t="s">
        <v>697</v>
      </c>
      <c r="D162" t="s">
        <v>698</v>
      </c>
      <c r="E162" t="s">
        <v>27</v>
      </c>
      <c r="F162">
        <v>1</v>
      </c>
      <c r="G162">
        <v>0</v>
      </c>
      <c r="H162" t="s">
        <v>96</v>
      </c>
      <c r="I162">
        <v>1</v>
      </c>
      <c r="K162">
        <v>0</v>
      </c>
      <c r="N162" t="s">
        <v>699</v>
      </c>
      <c r="O162" t="s">
        <v>700</v>
      </c>
      <c r="P162" t="s">
        <v>24</v>
      </c>
      <c r="Q162" t="s">
        <v>24</v>
      </c>
    </row>
    <row r="163" spans="1:17" x14ac:dyDescent="0.25">
      <c r="A163">
        <v>160</v>
      </c>
      <c r="B163" t="s">
        <v>701</v>
      </c>
      <c r="D163" t="s">
        <v>702</v>
      </c>
      <c r="E163" t="s">
        <v>27</v>
      </c>
      <c r="F163">
        <v>1</v>
      </c>
      <c r="G163">
        <v>0</v>
      </c>
      <c r="H163" t="s">
        <v>28</v>
      </c>
      <c r="I163">
        <v>1</v>
      </c>
      <c r="K163">
        <v>1</v>
      </c>
      <c r="N163" t="s">
        <v>703</v>
      </c>
      <c r="O163" t="s">
        <v>704</v>
      </c>
      <c r="P163" t="s">
        <v>24</v>
      </c>
      <c r="Q163" t="s">
        <v>24</v>
      </c>
    </row>
    <row r="164" spans="1:17" x14ac:dyDescent="0.25">
      <c r="A164">
        <v>161</v>
      </c>
      <c r="B164" t="s">
        <v>705</v>
      </c>
      <c r="D164" t="s">
        <v>706</v>
      </c>
      <c r="E164" t="s">
        <v>172</v>
      </c>
      <c r="F164">
        <v>1</v>
      </c>
      <c r="G164">
        <v>0</v>
      </c>
      <c r="H164" t="s">
        <v>707</v>
      </c>
      <c r="I164">
        <v>0</v>
      </c>
      <c r="K164">
        <v>0</v>
      </c>
      <c r="N164" t="s">
        <v>708</v>
      </c>
      <c r="O164" t="s">
        <v>709</v>
      </c>
      <c r="P164" t="s">
        <v>24</v>
      </c>
      <c r="Q164" t="s">
        <v>24</v>
      </c>
    </row>
    <row r="165" spans="1:17" x14ac:dyDescent="0.25">
      <c r="A165">
        <v>162</v>
      </c>
      <c r="B165" t="s">
        <v>710</v>
      </c>
      <c r="D165" t="s">
        <v>711</v>
      </c>
      <c r="E165" t="s">
        <v>27</v>
      </c>
      <c r="F165">
        <v>1</v>
      </c>
      <c r="G165">
        <v>0</v>
      </c>
      <c r="H165" t="s">
        <v>712</v>
      </c>
      <c r="I165">
        <v>1</v>
      </c>
      <c r="K165">
        <v>0</v>
      </c>
      <c r="N165" t="s">
        <v>713</v>
      </c>
      <c r="O165" t="s">
        <v>714</v>
      </c>
      <c r="P165" t="s">
        <v>24</v>
      </c>
      <c r="Q165" t="s">
        <v>24</v>
      </c>
    </row>
    <row r="166" spans="1:17" x14ac:dyDescent="0.25">
      <c r="A166">
        <v>163</v>
      </c>
      <c r="B166" t="s">
        <v>715</v>
      </c>
      <c r="C166" t="s">
        <v>716</v>
      </c>
      <c r="D166" t="s">
        <v>717</v>
      </c>
      <c r="E166" t="s">
        <v>27</v>
      </c>
      <c r="F166">
        <v>0</v>
      </c>
      <c r="G166">
        <v>0</v>
      </c>
      <c r="H166" t="s">
        <v>341</v>
      </c>
      <c r="I166">
        <v>0</v>
      </c>
      <c r="K166">
        <v>1</v>
      </c>
      <c r="P166" t="s">
        <v>24</v>
      </c>
      <c r="Q166" t="s">
        <v>24</v>
      </c>
    </row>
    <row r="167" spans="1:17" x14ac:dyDescent="0.25">
      <c r="A167">
        <v>164</v>
      </c>
      <c r="B167" t="s">
        <v>718</v>
      </c>
      <c r="D167" t="s">
        <v>719</v>
      </c>
      <c r="E167" t="s">
        <v>27</v>
      </c>
      <c r="F167">
        <v>1</v>
      </c>
      <c r="G167">
        <v>0</v>
      </c>
      <c r="H167" t="s">
        <v>28</v>
      </c>
      <c r="I167">
        <v>1</v>
      </c>
      <c r="K167">
        <v>1</v>
      </c>
      <c r="N167" t="s">
        <v>720</v>
      </c>
      <c r="O167" t="s">
        <v>721</v>
      </c>
      <c r="P167" t="s">
        <v>24</v>
      </c>
      <c r="Q167" t="s">
        <v>24</v>
      </c>
    </row>
    <row r="168" spans="1:17" x14ac:dyDescent="0.25">
      <c r="A168">
        <v>165</v>
      </c>
      <c r="B168" t="s">
        <v>722</v>
      </c>
      <c r="D168" t="s">
        <v>723</v>
      </c>
      <c r="E168" t="s">
        <v>27</v>
      </c>
      <c r="F168">
        <v>1</v>
      </c>
      <c r="G168">
        <v>1</v>
      </c>
      <c r="H168" t="s">
        <v>28</v>
      </c>
      <c r="I168">
        <v>1</v>
      </c>
      <c r="K168">
        <v>1</v>
      </c>
      <c r="N168" t="s">
        <v>724</v>
      </c>
      <c r="O168" t="s">
        <v>725</v>
      </c>
      <c r="P168" t="s">
        <v>24</v>
      </c>
      <c r="Q168" t="s">
        <v>24</v>
      </c>
    </row>
    <row r="169" spans="1:17" x14ac:dyDescent="0.25">
      <c r="A169">
        <v>166</v>
      </c>
      <c r="B169" t="s">
        <v>726</v>
      </c>
      <c r="D169" t="s">
        <v>727</v>
      </c>
      <c r="E169" t="s">
        <v>27</v>
      </c>
      <c r="F169">
        <v>1</v>
      </c>
      <c r="G169">
        <v>0</v>
      </c>
      <c r="H169" t="s">
        <v>728</v>
      </c>
      <c r="I169">
        <v>0</v>
      </c>
      <c r="K169">
        <v>0</v>
      </c>
      <c r="N169" t="s">
        <v>729</v>
      </c>
      <c r="O169" t="s">
        <v>730</v>
      </c>
      <c r="P169" t="s">
        <v>24</v>
      </c>
      <c r="Q169" t="s">
        <v>24</v>
      </c>
    </row>
    <row r="170" spans="1:17" x14ac:dyDescent="0.25">
      <c r="A170">
        <v>167</v>
      </c>
      <c r="B170" t="s">
        <v>731</v>
      </c>
      <c r="D170" t="s">
        <v>732</v>
      </c>
      <c r="E170" t="s">
        <v>27</v>
      </c>
      <c r="F170">
        <v>1</v>
      </c>
      <c r="G170">
        <v>0</v>
      </c>
      <c r="H170" t="s">
        <v>733</v>
      </c>
      <c r="I170">
        <v>0</v>
      </c>
      <c r="K170">
        <v>1</v>
      </c>
      <c r="N170" t="s">
        <v>734</v>
      </c>
      <c r="O170" t="s">
        <v>735</v>
      </c>
      <c r="P170" t="s">
        <v>24</v>
      </c>
      <c r="Q170" t="s">
        <v>24</v>
      </c>
    </row>
    <row r="171" spans="1:17" x14ac:dyDescent="0.25">
      <c r="A171">
        <v>168</v>
      </c>
      <c r="B171" t="s">
        <v>736</v>
      </c>
      <c r="D171" t="s">
        <v>737</v>
      </c>
      <c r="E171" t="s">
        <v>27</v>
      </c>
      <c r="F171">
        <v>1</v>
      </c>
      <c r="G171">
        <v>0</v>
      </c>
      <c r="H171" t="s">
        <v>28</v>
      </c>
      <c r="I171">
        <v>1</v>
      </c>
      <c r="K171">
        <v>0</v>
      </c>
      <c r="N171" t="s">
        <v>738</v>
      </c>
      <c r="O171" t="s">
        <v>739</v>
      </c>
      <c r="P171" t="s">
        <v>24</v>
      </c>
      <c r="Q171" t="s">
        <v>24</v>
      </c>
    </row>
    <row r="172" spans="1:17" x14ac:dyDescent="0.25">
      <c r="A172">
        <v>169</v>
      </c>
      <c r="B172" t="s">
        <v>740</v>
      </c>
      <c r="D172" t="s">
        <v>741</v>
      </c>
      <c r="E172" t="s">
        <v>27</v>
      </c>
      <c r="F172">
        <v>0</v>
      </c>
      <c r="G172">
        <v>0</v>
      </c>
      <c r="H172" t="s">
        <v>57</v>
      </c>
      <c r="I172">
        <v>1</v>
      </c>
      <c r="K172">
        <v>1</v>
      </c>
      <c r="M172" t="s">
        <v>114</v>
      </c>
      <c r="N172" t="s">
        <v>742</v>
      </c>
      <c r="O172" t="s">
        <v>1182</v>
      </c>
      <c r="P172" t="s">
        <v>24</v>
      </c>
      <c r="Q172" t="s">
        <v>24</v>
      </c>
    </row>
    <row r="173" spans="1:17" x14ac:dyDescent="0.25">
      <c r="A173">
        <v>170</v>
      </c>
      <c r="B173" t="s">
        <v>743</v>
      </c>
      <c r="D173" t="s">
        <v>744</v>
      </c>
      <c r="E173" t="s">
        <v>20</v>
      </c>
      <c r="F173">
        <v>1</v>
      </c>
      <c r="G173">
        <v>0</v>
      </c>
      <c r="H173" t="s">
        <v>745</v>
      </c>
      <c r="I173">
        <v>1</v>
      </c>
      <c r="K173">
        <v>0</v>
      </c>
      <c r="N173" t="s">
        <v>746</v>
      </c>
      <c r="O173" t="s">
        <v>747</v>
      </c>
      <c r="P173" t="s">
        <v>24</v>
      </c>
      <c r="Q173" t="s">
        <v>24</v>
      </c>
    </row>
    <row r="174" spans="1:17" x14ac:dyDescent="0.25">
      <c r="A174">
        <v>171</v>
      </c>
      <c r="B174" t="s">
        <v>748</v>
      </c>
      <c r="D174" t="s">
        <v>749</v>
      </c>
      <c r="E174" t="s">
        <v>192</v>
      </c>
      <c r="F174">
        <v>1</v>
      </c>
      <c r="G174">
        <v>0</v>
      </c>
      <c r="H174" t="s">
        <v>139</v>
      </c>
      <c r="I174">
        <v>1</v>
      </c>
      <c r="K174">
        <v>0</v>
      </c>
      <c r="N174" t="s">
        <v>750</v>
      </c>
      <c r="O174" t="s">
        <v>751</v>
      </c>
      <c r="P174" t="s">
        <v>24</v>
      </c>
      <c r="Q174" t="s">
        <v>24</v>
      </c>
    </row>
    <row r="175" spans="1:17" x14ac:dyDescent="0.25">
      <c r="A175">
        <v>172</v>
      </c>
      <c r="B175" t="s">
        <v>752</v>
      </c>
      <c r="D175" t="s">
        <v>753</v>
      </c>
      <c r="E175" t="s">
        <v>192</v>
      </c>
      <c r="F175">
        <v>1</v>
      </c>
      <c r="G175">
        <v>0</v>
      </c>
      <c r="H175" t="s">
        <v>483</v>
      </c>
      <c r="I175">
        <v>1</v>
      </c>
      <c r="K175">
        <v>0</v>
      </c>
      <c r="N175" t="s">
        <v>754</v>
      </c>
      <c r="O175" t="s">
        <v>755</v>
      </c>
      <c r="P175" t="s">
        <v>24</v>
      </c>
      <c r="Q175" t="s">
        <v>24</v>
      </c>
    </row>
    <row r="176" spans="1:17" x14ac:dyDescent="0.25">
      <c r="A176">
        <v>173</v>
      </c>
      <c r="B176" t="s">
        <v>756</v>
      </c>
      <c r="D176" t="s">
        <v>757</v>
      </c>
      <c r="E176" t="s">
        <v>39</v>
      </c>
      <c r="F176">
        <v>1</v>
      </c>
      <c r="G176">
        <v>0</v>
      </c>
      <c r="H176" t="s">
        <v>758</v>
      </c>
      <c r="I176">
        <v>0</v>
      </c>
      <c r="K176">
        <v>0</v>
      </c>
      <c r="N176" t="s">
        <v>759</v>
      </c>
      <c r="O176" t="s">
        <v>1183</v>
      </c>
      <c r="P176" t="s">
        <v>24</v>
      </c>
      <c r="Q176" t="s">
        <v>24</v>
      </c>
    </row>
    <row r="177" spans="1:17" x14ac:dyDescent="0.25">
      <c r="A177">
        <v>174</v>
      </c>
      <c r="B177" t="s">
        <v>760</v>
      </c>
      <c r="D177" t="s">
        <v>761</v>
      </c>
      <c r="E177" t="s">
        <v>20</v>
      </c>
      <c r="F177">
        <v>1</v>
      </c>
      <c r="G177">
        <v>0</v>
      </c>
      <c r="H177" t="s">
        <v>762</v>
      </c>
      <c r="I177">
        <v>1</v>
      </c>
      <c r="K177">
        <v>1</v>
      </c>
      <c r="N177" t="s">
        <v>763</v>
      </c>
      <c r="O177" t="s">
        <v>764</v>
      </c>
      <c r="P177" t="s">
        <v>24</v>
      </c>
      <c r="Q177" t="s">
        <v>24</v>
      </c>
    </row>
    <row r="178" spans="1:17" x14ac:dyDescent="0.25">
      <c r="A178">
        <v>175</v>
      </c>
      <c r="B178" t="s">
        <v>765</v>
      </c>
      <c r="D178" t="s">
        <v>766</v>
      </c>
      <c r="E178" t="s">
        <v>27</v>
      </c>
      <c r="F178">
        <v>1</v>
      </c>
      <c r="G178">
        <v>0</v>
      </c>
      <c r="H178" t="s">
        <v>43</v>
      </c>
      <c r="I178">
        <v>1</v>
      </c>
      <c r="J178" t="s">
        <v>767</v>
      </c>
      <c r="K178">
        <v>0</v>
      </c>
      <c r="N178" t="s">
        <v>768</v>
      </c>
      <c r="O178" t="s">
        <v>769</v>
      </c>
      <c r="P178" t="s">
        <v>24</v>
      </c>
      <c r="Q178" t="s">
        <v>24</v>
      </c>
    </row>
    <row r="179" spans="1:17" x14ac:dyDescent="0.25">
      <c r="A179">
        <v>473</v>
      </c>
      <c r="B179" t="s">
        <v>770</v>
      </c>
      <c r="C179" t="s">
        <v>24</v>
      </c>
      <c r="D179" t="s">
        <v>771</v>
      </c>
      <c r="F179">
        <v>1</v>
      </c>
      <c r="G179">
        <v>0</v>
      </c>
      <c r="I179">
        <v>0</v>
      </c>
      <c r="J179" t="s">
        <v>24</v>
      </c>
      <c r="K179">
        <v>0</v>
      </c>
      <c r="L179" t="s">
        <v>24</v>
      </c>
      <c r="M179" t="s">
        <v>24</v>
      </c>
      <c r="O179" t="s">
        <v>772</v>
      </c>
      <c r="P179" t="s">
        <v>24</v>
      </c>
      <c r="Q179" t="s">
        <v>24</v>
      </c>
    </row>
    <row r="180" spans="1:17" x14ac:dyDescent="0.25">
      <c r="A180">
        <v>176</v>
      </c>
      <c r="B180" t="s">
        <v>773</v>
      </c>
      <c r="D180" t="s">
        <v>774</v>
      </c>
      <c r="E180" t="s">
        <v>27</v>
      </c>
      <c r="F180">
        <v>1</v>
      </c>
      <c r="G180">
        <v>0</v>
      </c>
      <c r="H180" t="s">
        <v>762</v>
      </c>
      <c r="I180">
        <v>0</v>
      </c>
      <c r="K180">
        <v>1</v>
      </c>
      <c r="N180" t="s">
        <v>775</v>
      </c>
      <c r="O180" t="s">
        <v>776</v>
      </c>
      <c r="P180" t="s">
        <v>24</v>
      </c>
      <c r="Q180" t="s">
        <v>24</v>
      </c>
    </row>
    <row r="181" spans="1:17" x14ac:dyDescent="0.25">
      <c r="A181">
        <v>177</v>
      </c>
      <c r="B181" t="s">
        <v>21</v>
      </c>
      <c r="D181" t="s">
        <v>777</v>
      </c>
      <c r="E181" t="s">
        <v>20</v>
      </c>
      <c r="F181">
        <v>1</v>
      </c>
      <c r="G181">
        <v>0</v>
      </c>
      <c r="H181" t="s">
        <v>21</v>
      </c>
      <c r="I181">
        <v>1</v>
      </c>
      <c r="K181">
        <v>0</v>
      </c>
      <c r="N181" t="s">
        <v>778</v>
      </c>
      <c r="O181" t="s">
        <v>779</v>
      </c>
      <c r="P181" t="s">
        <v>24</v>
      </c>
      <c r="Q181" t="s">
        <v>24</v>
      </c>
    </row>
    <row r="182" spans="1:17" x14ac:dyDescent="0.25">
      <c r="A182">
        <v>178</v>
      </c>
      <c r="B182" t="s">
        <v>780</v>
      </c>
      <c r="C182" t="s">
        <v>781</v>
      </c>
      <c r="D182" t="s">
        <v>782</v>
      </c>
      <c r="E182" t="s">
        <v>20</v>
      </c>
      <c r="F182">
        <v>1</v>
      </c>
      <c r="G182">
        <v>0</v>
      </c>
      <c r="H182" t="s">
        <v>21</v>
      </c>
      <c r="I182">
        <v>1</v>
      </c>
      <c r="K182">
        <v>0</v>
      </c>
      <c r="N182" t="s">
        <v>783</v>
      </c>
      <c r="O182" t="s">
        <v>784</v>
      </c>
      <c r="P182" t="s">
        <v>24</v>
      </c>
      <c r="Q182" t="s">
        <v>24</v>
      </c>
    </row>
    <row r="183" spans="1:17" x14ac:dyDescent="0.25">
      <c r="A183">
        <v>179</v>
      </c>
      <c r="B183" t="s">
        <v>785</v>
      </c>
      <c r="C183" t="s">
        <v>781</v>
      </c>
      <c r="D183" t="s">
        <v>786</v>
      </c>
      <c r="E183" t="s">
        <v>20</v>
      </c>
      <c r="F183">
        <v>1</v>
      </c>
      <c r="G183">
        <v>0</v>
      </c>
      <c r="I183">
        <v>1</v>
      </c>
      <c r="K183">
        <v>0</v>
      </c>
      <c r="N183" t="s">
        <v>787</v>
      </c>
      <c r="O183" t="s">
        <v>788</v>
      </c>
      <c r="P183" t="s">
        <v>24</v>
      </c>
      <c r="Q183" t="s">
        <v>24</v>
      </c>
    </row>
    <row r="184" spans="1:17" x14ac:dyDescent="0.25">
      <c r="A184">
        <v>180</v>
      </c>
      <c r="B184" t="s">
        <v>789</v>
      </c>
      <c r="D184" t="s">
        <v>790</v>
      </c>
      <c r="E184" t="s">
        <v>192</v>
      </c>
      <c r="F184">
        <v>1</v>
      </c>
      <c r="G184">
        <v>0</v>
      </c>
      <c r="H184" t="s">
        <v>791</v>
      </c>
      <c r="I184">
        <v>0</v>
      </c>
      <c r="K184">
        <v>0</v>
      </c>
      <c r="N184" t="s">
        <v>792</v>
      </c>
      <c r="O184" t="s">
        <v>793</v>
      </c>
      <c r="P184" t="s">
        <v>24</v>
      </c>
      <c r="Q184" t="s">
        <v>24</v>
      </c>
    </row>
    <row r="185" spans="1:17" x14ac:dyDescent="0.25">
      <c r="A185">
        <v>181</v>
      </c>
      <c r="B185" t="s">
        <v>794</v>
      </c>
      <c r="D185" t="s">
        <v>795</v>
      </c>
      <c r="E185" t="s">
        <v>27</v>
      </c>
      <c r="F185">
        <v>0</v>
      </c>
      <c r="G185">
        <v>0</v>
      </c>
      <c r="H185" t="s">
        <v>57</v>
      </c>
      <c r="I185">
        <v>1</v>
      </c>
      <c r="K185">
        <v>1</v>
      </c>
      <c r="N185" t="s">
        <v>796</v>
      </c>
      <c r="O185" t="s">
        <v>797</v>
      </c>
      <c r="P185" t="s">
        <v>24</v>
      </c>
      <c r="Q185" t="s">
        <v>24</v>
      </c>
    </row>
    <row r="186" spans="1:17" x14ac:dyDescent="0.25">
      <c r="A186">
        <v>182</v>
      </c>
      <c r="B186" t="s">
        <v>798</v>
      </c>
      <c r="D186" t="s">
        <v>799</v>
      </c>
      <c r="E186" t="s">
        <v>27</v>
      </c>
      <c r="F186">
        <v>0</v>
      </c>
      <c r="G186">
        <v>0</v>
      </c>
      <c r="H186" t="s">
        <v>57</v>
      </c>
      <c r="I186">
        <v>1</v>
      </c>
      <c r="K186">
        <v>1</v>
      </c>
      <c r="N186" t="s">
        <v>800</v>
      </c>
      <c r="O186" t="s">
        <v>801</v>
      </c>
      <c r="P186" t="s">
        <v>24</v>
      </c>
      <c r="Q186" t="s">
        <v>24</v>
      </c>
    </row>
    <row r="187" spans="1:17" x14ac:dyDescent="0.25">
      <c r="A187">
        <v>183</v>
      </c>
      <c r="B187" t="s">
        <v>802</v>
      </c>
      <c r="D187" t="s">
        <v>803</v>
      </c>
      <c r="E187" t="s">
        <v>27</v>
      </c>
      <c r="F187">
        <v>0</v>
      </c>
      <c r="G187">
        <v>0</v>
      </c>
      <c r="H187" t="s">
        <v>57</v>
      </c>
      <c r="I187">
        <v>1</v>
      </c>
      <c r="K187">
        <v>1</v>
      </c>
      <c r="M187" t="s">
        <v>62</v>
      </c>
      <c r="N187" t="s">
        <v>804</v>
      </c>
      <c r="O187" t="s">
        <v>1184</v>
      </c>
      <c r="P187" t="s">
        <v>24</v>
      </c>
      <c r="Q187" t="s">
        <v>24</v>
      </c>
    </row>
    <row r="188" spans="1:17" x14ac:dyDescent="0.25">
      <c r="A188">
        <v>184</v>
      </c>
      <c r="B188" t="s">
        <v>805</v>
      </c>
      <c r="C188" t="s">
        <v>806</v>
      </c>
      <c r="D188" t="s">
        <v>807</v>
      </c>
      <c r="E188" t="s">
        <v>808</v>
      </c>
      <c r="F188">
        <v>1</v>
      </c>
      <c r="G188">
        <v>0</v>
      </c>
      <c r="H188" t="s">
        <v>809</v>
      </c>
      <c r="I188">
        <v>0</v>
      </c>
      <c r="K188">
        <v>0</v>
      </c>
      <c r="N188" t="s">
        <v>810</v>
      </c>
      <c r="O188" t="s">
        <v>811</v>
      </c>
      <c r="P188" t="s">
        <v>24</v>
      </c>
      <c r="Q188" t="s">
        <v>24</v>
      </c>
    </row>
    <row r="189" spans="1:17" x14ac:dyDescent="0.25">
      <c r="A189">
        <v>185</v>
      </c>
      <c r="B189" t="s">
        <v>812</v>
      </c>
      <c r="D189" t="s">
        <v>813</v>
      </c>
      <c r="E189" t="s">
        <v>20</v>
      </c>
      <c r="F189">
        <v>1</v>
      </c>
      <c r="G189">
        <v>0</v>
      </c>
      <c r="H189" t="s">
        <v>814</v>
      </c>
      <c r="I189">
        <v>1</v>
      </c>
      <c r="K189">
        <v>0</v>
      </c>
      <c r="N189" t="s">
        <v>815</v>
      </c>
      <c r="O189" t="s">
        <v>816</v>
      </c>
      <c r="P189" t="s">
        <v>24</v>
      </c>
      <c r="Q189" t="s">
        <v>24</v>
      </c>
    </row>
    <row r="190" spans="1:17" x14ac:dyDescent="0.25">
      <c r="A190">
        <v>186</v>
      </c>
      <c r="B190" t="s">
        <v>817</v>
      </c>
      <c r="D190" t="s">
        <v>818</v>
      </c>
      <c r="E190" t="s">
        <v>39</v>
      </c>
      <c r="F190">
        <v>1</v>
      </c>
      <c r="G190">
        <v>0</v>
      </c>
      <c r="H190" t="s">
        <v>819</v>
      </c>
      <c r="I190">
        <v>0</v>
      </c>
      <c r="K190">
        <v>0</v>
      </c>
      <c r="N190" t="s">
        <v>820</v>
      </c>
      <c r="O190" t="s">
        <v>821</v>
      </c>
      <c r="P190" t="s">
        <v>24</v>
      </c>
      <c r="Q190" t="s">
        <v>24</v>
      </c>
    </row>
    <row r="191" spans="1:17" x14ac:dyDescent="0.25">
      <c r="A191">
        <v>187</v>
      </c>
      <c r="B191" t="s">
        <v>822</v>
      </c>
      <c r="D191" t="s">
        <v>823</v>
      </c>
      <c r="E191" t="s">
        <v>39</v>
      </c>
      <c r="F191">
        <v>0</v>
      </c>
      <c r="G191">
        <v>0</v>
      </c>
      <c r="H191" t="s">
        <v>823</v>
      </c>
      <c r="I191">
        <v>0</v>
      </c>
      <c r="J191" t="s">
        <v>824</v>
      </c>
      <c r="K191">
        <v>0</v>
      </c>
      <c r="N191" t="s">
        <v>825</v>
      </c>
      <c r="O191" t="s">
        <v>826</v>
      </c>
      <c r="P191" t="s">
        <v>24</v>
      </c>
      <c r="Q191" t="s">
        <v>24</v>
      </c>
    </row>
    <row r="192" spans="1:17" x14ac:dyDescent="0.25">
      <c r="A192">
        <v>188</v>
      </c>
      <c r="B192" t="s">
        <v>827</v>
      </c>
      <c r="D192" t="s">
        <v>828</v>
      </c>
      <c r="E192" t="s">
        <v>27</v>
      </c>
      <c r="F192">
        <v>0</v>
      </c>
      <c r="G192">
        <v>0</v>
      </c>
      <c r="H192" t="s">
        <v>57</v>
      </c>
      <c r="I192">
        <v>1</v>
      </c>
      <c r="K192">
        <v>1</v>
      </c>
      <c r="M192" t="s">
        <v>114</v>
      </c>
      <c r="N192" t="s">
        <v>829</v>
      </c>
      <c r="O192" t="s">
        <v>1185</v>
      </c>
      <c r="P192" t="s">
        <v>24</v>
      </c>
      <c r="Q192" t="s">
        <v>24</v>
      </c>
    </row>
    <row r="193" spans="1:17" x14ac:dyDescent="0.25">
      <c r="A193">
        <v>189</v>
      </c>
      <c r="B193" t="s">
        <v>830</v>
      </c>
      <c r="D193" t="s">
        <v>831</v>
      </c>
      <c r="E193" t="s">
        <v>27</v>
      </c>
      <c r="F193">
        <v>1</v>
      </c>
      <c r="G193">
        <v>0</v>
      </c>
      <c r="H193" t="s">
        <v>28</v>
      </c>
      <c r="I193">
        <v>1</v>
      </c>
      <c r="K193">
        <v>0</v>
      </c>
      <c r="N193" t="s">
        <v>832</v>
      </c>
      <c r="O193" t="s">
        <v>833</v>
      </c>
      <c r="P193" t="s">
        <v>24</v>
      </c>
      <c r="Q193" t="s">
        <v>24</v>
      </c>
    </row>
    <row r="194" spans="1:17" x14ac:dyDescent="0.25">
      <c r="A194">
        <v>191</v>
      </c>
      <c r="B194" t="s">
        <v>834</v>
      </c>
      <c r="D194" t="s">
        <v>835</v>
      </c>
      <c r="E194" t="s">
        <v>39</v>
      </c>
      <c r="F194">
        <v>1</v>
      </c>
      <c r="G194">
        <v>0</v>
      </c>
      <c r="H194" t="s">
        <v>834</v>
      </c>
      <c r="I194">
        <v>0</v>
      </c>
      <c r="K194">
        <v>0</v>
      </c>
      <c r="N194" t="s">
        <v>836</v>
      </c>
      <c r="O194" t="s">
        <v>1186</v>
      </c>
      <c r="P194" t="s">
        <v>24</v>
      </c>
      <c r="Q194" t="s">
        <v>24</v>
      </c>
    </row>
    <row r="195" spans="1:17" x14ac:dyDescent="0.25">
      <c r="A195">
        <v>192</v>
      </c>
      <c r="B195" t="s">
        <v>837</v>
      </c>
      <c r="D195" t="s">
        <v>838</v>
      </c>
      <c r="E195" t="s">
        <v>39</v>
      </c>
      <c r="F195">
        <v>1</v>
      </c>
      <c r="G195">
        <v>0</v>
      </c>
      <c r="H195" t="s">
        <v>839</v>
      </c>
      <c r="I195">
        <v>0</v>
      </c>
      <c r="J195" t="s">
        <v>840</v>
      </c>
      <c r="K195">
        <v>0</v>
      </c>
      <c r="N195" t="s">
        <v>841</v>
      </c>
      <c r="O195" t="s">
        <v>842</v>
      </c>
      <c r="P195" t="s">
        <v>24</v>
      </c>
      <c r="Q195" t="s">
        <v>24</v>
      </c>
    </row>
    <row r="196" spans="1:17" x14ac:dyDescent="0.25">
      <c r="A196">
        <v>193</v>
      </c>
      <c r="B196" t="s">
        <v>843</v>
      </c>
      <c r="D196" t="s">
        <v>844</v>
      </c>
      <c r="E196" t="s">
        <v>27</v>
      </c>
      <c r="F196">
        <v>0</v>
      </c>
      <c r="G196">
        <v>0</v>
      </c>
      <c r="H196" t="s">
        <v>57</v>
      </c>
      <c r="I196">
        <v>1</v>
      </c>
      <c r="K196">
        <v>1</v>
      </c>
      <c r="M196" t="s">
        <v>144</v>
      </c>
      <c r="N196" t="s">
        <v>845</v>
      </c>
      <c r="O196" t="s">
        <v>846</v>
      </c>
      <c r="P196" t="s">
        <v>24</v>
      </c>
      <c r="Q196" t="s">
        <v>24</v>
      </c>
    </row>
    <row r="197" spans="1:17" x14ac:dyDescent="0.25">
      <c r="A197">
        <v>194</v>
      </c>
      <c r="B197" t="s">
        <v>847</v>
      </c>
      <c r="D197" t="s">
        <v>848</v>
      </c>
      <c r="E197" t="s">
        <v>27</v>
      </c>
      <c r="F197">
        <v>0</v>
      </c>
      <c r="G197">
        <v>0</v>
      </c>
      <c r="H197" t="s">
        <v>57</v>
      </c>
      <c r="I197">
        <v>1</v>
      </c>
      <c r="K197">
        <v>1</v>
      </c>
      <c r="N197" t="s">
        <v>849</v>
      </c>
      <c r="O197" t="s">
        <v>1187</v>
      </c>
      <c r="P197" t="s">
        <v>24</v>
      </c>
      <c r="Q197" t="s">
        <v>24</v>
      </c>
    </row>
    <row r="198" spans="1:17" x14ac:dyDescent="0.25">
      <c r="A198">
        <v>195</v>
      </c>
      <c r="B198" t="s">
        <v>850</v>
      </c>
      <c r="C198" t="s">
        <v>851</v>
      </c>
      <c r="D198" t="s">
        <v>852</v>
      </c>
      <c r="E198" t="s">
        <v>27</v>
      </c>
      <c r="F198">
        <v>1</v>
      </c>
      <c r="G198">
        <v>0</v>
      </c>
      <c r="H198" t="s">
        <v>853</v>
      </c>
      <c r="I198">
        <v>0</v>
      </c>
      <c r="K198">
        <v>0</v>
      </c>
      <c r="N198" t="s">
        <v>854</v>
      </c>
      <c r="O198" t="s">
        <v>855</v>
      </c>
      <c r="P198" t="s">
        <v>24</v>
      </c>
      <c r="Q198" t="s">
        <v>24</v>
      </c>
    </row>
    <row r="199" spans="1:17" x14ac:dyDescent="0.25">
      <c r="A199">
        <v>196</v>
      </c>
      <c r="B199" t="s">
        <v>856</v>
      </c>
      <c r="D199" t="s">
        <v>857</v>
      </c>
      <c r="E199" t="s">
        <v>192</v>
      </c>
      <c r="F199">
        <v>1</v>
      </c>
      <c r="G199">
        <v>0</v>
      </c>
      <c r="H199" t="s">
        <v>341</v>
      </c>
      <c r="I199">
        <v>1</v>
      </c>
      <c r="K199">
        <v>0</v>
      </c>
      <c r="N199" t="s">
        <v>858</v>
      </c>
      <c r="O199" t="s">
        <v>859</v>
      </c>
      <c r="P199" t="s">
        <v>24</v>
      </c>
      <c r="Q199" t="s">
        <v>24</v>
      </c>
    </row>
    <row r="200" spans="1:17" x14ac:dyDescent="0.25">
      <c r="A200">
        <v>197</v>
      </c>
      <c r="B200" t="s">
        <v>860</v>
      </c>
      <c r="D200" t="s">
        <v>861</v>
      </c>
      <c r="E200" t="s">
        <v>172</v>
      </c>
      <c r="F200">
        <v>1</v>
      </c>
      <c r="G200">
        <v>0</v>
      </c>
      <c r="H200" t="s">
        <v>862</v>
      </c>
      <c r="I200">
        <v>0</v>
      </c>
      <c r="K200">
        <v>0</v>
      </c>
      <c r="N200" t="s">
        <v>863</v>
      </c>
      <c r="O200" t="s">
        <v>864</v>
      </c>
      <c r="P200" t="s">
        <v>24</v>
      </c>
      <c r="Q200" t="s">
        <v>24</v>
      </c>
    </row>
    <row r="201" spans="1:17" x14ac:dyDescent="0.25">
      <c r="A201">
        <v>198</v>
      </c>
      <c r="B201" t="s">
        <v>865</v>
      </c>
      <c r="D201" t="s">
        <v>866</v>
      </c>
      <c r="E201" t="s">
        <v>39</v>
      </c>
      <c r="F201">
        <v>1</v>
      </c>
      <c r="G201">
        <v>0</v>
      </c>
      <c r="H201" t="s">
        <v>822</v>
      </c>
      <c r="I201">
        <v>0</v>
      </c>
      <c r="J201" t="s">
        <v>824</v>
      </c>
      <c r="K201">
        <v>0</v>
      </c>
      <c r="N201" t="s">
        <v>867</v>
      </c>
      <c r="O201" t="s">
        <v>868</v>
      </c>
      <c r="P201" t="s">
        <v>24</v>
      </c>
      <c r="Q201" t="s">
        <v>24</v>
      </c>
    </row>
    <row r="202" spans="1:17" x14ac:dyDescent="0.25">
      <c r="A202">
        <v>199</v>
      </c>
      <c r="B202" t="s">
        <v>869</v>
      </c>
      <c r="C202" t="s">
        <v>870</v>
      </c>
      <c r="D202" t="s">
        <v>871</v>
      </c>
      <c r="E202" t="s">
        <v>400</v>
      </c>
      <c r="F202">
        <v>1</v>
      </c>
      <c r="G202">
        <v>0</v>
      </c>
      <c r="H202" t="s">
        <v>872</v>
      </c>
      <c r="I202">
        <v>0</v>
      </c>
      <c r="K202">
        <v>0</v>
      </c>
      <c r="N202" t="s">
        <v>873</v>
      </c>
      <c r="O202" t="s">
        <v>874</v>
      </c>
      <c r="P202" t="s">
        <v>24</v>
      </c>
      <c r="Q202" t="s">
        <v>24</v>
      </c>
    </row>
    <row r="203" spans="1:17" x14ac:dyDescent="0.25">
      <c r="A203">
        <v>200</v>
      </c>
      <c r="B203" t="s">
        <v>875</v>
      </c>
      <c r="D203" t="s">
        <v>876</v>
      </c>
      <c r="E203" t="s">
        <v>27</v>
      </c>
      <c r="F203">
        <v>0</v>
      </c>
      <c r="G203">
        <v>0</v>
      </c>
      <c r="H203" t="s">
        <v>57</v>
      </c>
      <c r="I203">
        <v>1</v>
      </c>
      <c r="K203">
        <v>1</v>
      </c>
      <c r="M203" t="s">
        <v>74</v>
      </c>
      <c r="N203" t="s">
        <v>877</v>
      </c>
      <c r="O203" t="s">
        <v>1188</v>
      </c>
      <c r="P203" t="s">
        <v>24</v>
      </c>
      <c r="Q203" t="s">
        <v>24</v>
      </c>
    </row>
    <row r="204" spans="1:17" x14ac:dyDescent="0.25">
      <c r="A204">
        <v>201</v>
      </c>
      <c r="B204" t="s">
        <v>878</v>
      </c>
      <c r="D204" t="s">
        <v>879</v>
      </c>
      <c r="E204" t="s">
        <v>192</v>
      </c>
      <c r="F204">
        <v>1</v>
      </c>
      <c r="G204">
        <v>0</v>
      </c>
      <c r="H204" t="s">
        <v>254</v>
      </c>
      <c r="I204">
        <v>0</v>
      </c>
      <c r="K204">
        <v>0</v>
      </c>
      <c r="N204" t="s">
        <v>880</v>
      </c>
      <c r="O204" t="s">
        <v>881</v>
      </c>
      <c r="P204" t="s">
        <v>24</v>
      </c>
      <c r="Q204" t="s">
        <v>24</v>
      </c>
    </row>
    <row r="205" spans="1:17" x14ac:dyDescent="0.25">
      <c r="A205">
        <v>202</v>
      </c>
      <c r="B205" t="s">
        <v>882</v>
      </c>
      <c r="D205" t="s">
        <v>883</v>
      </c>
      <c r="E205" t="s">
        <v>20</v>
      </c>
      <c r="F205">
        <v>1</v>
      </c>
      <c r="G205">
        <v>0</v>
      </c>
      <c r="H205" t="s">
        <v>884</v>
      </c>
      <c r="I205">
        <v>0</v>
      </c>
      <c r="J205" t="s">
        <v>885</v>
      </c>
      <c r="K205">
        <v>0</v>
      </c>
      <c r="N205" t="s">
        <v>886</v>
      </c>
      <c r="O205" t="s">
        <v>887</v>
      </c>
      <c r="P205" t="s">
        <v>24</v>
      </c>
      <c r="Q205" t="s">
        <v>24</v>
      </c>
    </row>
    <row r="206" spans="1:17" x14ac:dyDescent="0.25">
      <c r="A206">
        <v>203</v>
      </c>
      <c r="B206" t="s">
        <v>888</v>
      </c>
      <c r="D206" t="s">
        <v>889</v>
      </c>
      <c r="E206" t="s">
        <v>27</v>
      </c>
      <c r="F206">
        <v>0</v>
      </c>
      <c r="G206">
        <v>0</v>
      </c>
      <c r="H206" t="s">
        <v>57</v>
      </c>
      <c r="I206">
        <v>1</v>
      </c>
      <c r="K206">
        <v>1</v>
      </c>
      <c r="M206" t="s">
        <v>114</v>
      </c>
      <c r="N206" t="s">
        <v>890</v>
      </c>
      <c r="O206" t="s">
        <v>1189</v>
      </c>
      <c r="P206" t="s">
        <v>24</v>
      </c>
      <c r="Q206" t="s">
        <v>24</v>
      </c>
    </row>
    <row r="207" spans="1:17" x14ac:dyDescent="0.25">
      <c r="A207">
        <v>204</v>
      </c>
      <c r="B207" t="s">
        <v>891</v>
      </c>
      <c r="D207" t="s">
        <v>892</v>
      </c>
      <c r="E207" t="s">
        <v>27</v>
      </c>
      <c r="F207">
        <v>1</v>
      </c>
      <c r="G207">
        <v>1</v>
      </c>
      <c r="H207" t="s">
        <v>893</v>
      </c>
      <c r="I207">
        <v>1</v>
      </c>
      <c r="J207" t="s">
        <v>894</v>
      </c>
      <c r="K207">
        <v>1</v>
      </c>
      <c r="N207" t="s">
        <v>895</v>
      </c>
      <c r="O207" t="s">
        <v>896</v>
      </c>
      <c r="P207" t="s">
        <v>24</v>
      </c>
      <c r="Q207" t="s">
        <v>24</v>
      </c>
    </row>
    <row r="208" spans="1:17" x14ac:dyDescent="0.25">
      <c r="A208">
        <v>205</v>
      </c>
      <c r="B208" t="s">
        <v>897</v>
      </c>
      <c r="D208" t="s">
        <v>898</v>
      </c>
      <c r="E208" t="s">
        <v>27</v>
      </c>
      <c r="F208">
        <v>0</v>
      </c>
      <c r="G208">
        <v>0</v>
      </c>
      <c r="H208" t="s">
        <v>57</v>
      </c>
      <c r="I208">
        <v>1</v>
      </c>
      <c r="K208">
        <v>1</v>
      </c>
      <c r="M208" t="s">
        <v>78</v>
      </c>
      <c r="N208" t="s">
        <v>899</v>
      </c>
      <c r="O208" t="s">
        <v>1190</v>
      </c>
      <c r="P208" t="s">
        <v>24</v>
      </c>
      <c r="Q208" t="s">
        <v>24</v>
      </c>
    </row>
    <row r="209" spans="1:17" x14ac:dyDescent="0.25">
      <c r="A209">
        <v>206</v>
      </c>
      <c r="B209" t="s">
        <v>900</v>
      </c>
      <c r="D209" t="s">
        <v>901</v>
      </c>
      <c r="E209" t="s">
        <v>20</v>
      </c>
      <c r="F209">
        <v>1</v>
      </c>
      <c r="G209">
        <v>0</v>
      </c>
      <c r="H209" t="s">
        <v>902</v>
      </c>
      <c r="I209">
        <v>1</v>
      </c>
      <c r="K209">
        <v>0</v>
      </c>
      <c r="N209" t="s">
        <v>903</v>
      </c>
      <c r="O209" t="s">
        <v>904</v>
      </c>
      <c r="P209" t="s">
        <v>24</v>
      </c>
      <c r="Q209" t="s">
        <v>24</v>
      </c>
    </row>
    <row r="210" spans="1:17" x14ac:dyDescent="0.25">
      <c r="A210">
        <v>207</v>
      </c>
      <c r="B210" t="s">
        <v>905</v>
      </c>
      <c r="D210" t="s">
        <v>906</v>
      </c>
      <c r="E210" t="s">
        <v>27</v>
      </c>
      <c r="F210">
        <v>0</v>
      </c>
      <c r="G210">
        <v>0</v>
      </c>
      <c r="H210" t="s">
        <v>96</v>
      </c>
      <c r="I210">
        <v>1</v>
      </c>
      <c r="K210">
        <v>1</v>
      </c>
      <c r="N210" t="s">
        <v>907</v>
      </c>
      <c r="O210" t="s">
        <v>908</v>
      </c>
      <c r="P210" t="s">
        <v>24</v>
      </c>
      <c r="Q210" t="s">
        <v>24</v>
      </c>
    </row>
    <row r="211" spans="1:17" x14ac:dyDescent="0.25">
      <c r="A211">
        <v>208</v>
      </c>
      <c r="B211" t="s">
        <v>909</v>
      </c>
      <c r="D211" t="s">
        <v>910</v>
      </c>
      <c r="E211" t="s">
        <v>39</v>
      </c>
      <c r="F211">
        <v>1</v>
      </c>
      <c r="G211">
        <v>0</v>
      </c>
      <c r="H211" t="s">
        <v>96</v>
      </c>
      <c r="I211">
        <v>1</v>
      </c>
      <c r="K211">
        <v>0</v>
      </c>
      <c r="N211" t="s">
        <v>911</v>
      </c>
      <c r="O211" t="s">
        <v>912</v>
      </c>
      <c r="P211" t="s">
        <v>24</v>
      </c>
      <c r="Q211" t="s">
        <v>24</v>
      </c>
    </row>
    <row r="212" spans="1:17" x14ac:dyDescent="0.25">
      <c r="A212">
        <v>209</v>
      </c>
      <c r="B212" t="s">
        <v>913</v>
      </c>
      <c r="D212" t="s">
        <v>914</v>
      </c>
      <c r="E212" t="s">
        <v>27</v>
      </c>
      <c r="F212">
        <v>1</v>
      </c>
      <c r="G212">
        <v>1</v>
      </c>
      <c r="H212" t="s">
        <v>96</v>
      </c>
      <c r="I212">
        <v>1</v>
      </c>
      <c r="K212">
        <v>1</v>
      </c>
      <c r="N212" t="s">
        <v>915</v>
      </c>
      <c r="O212" t="s">
        <v>916</v>
      </c>
      <c r="P212" t="s">
        <v>24</v>
      </c>
      <c r="Q212" t="s">
        <v>24</v>
      </c>
    </row>
    <row r="213" spans="1:17" x14ac:dyDescent="0.25">
      <c r="A213">
        <v>418</v>
      </c>
      <c r="B213" t="s">
        <v>917</v>
      </c>
      <c r="C213" t="s">
        <v>24</v>
      </c>
      <c r="D213" t="s">
        <v>918</v>
      </c>
      <c r="E213" t="s">
        <v>39</v>
      </c>
      <c r="F213">
        <v>1</v>
      </c>
      <c r="G213">
        <v>0</v>
      </c>
      <c r="H213" t="s">
        <v>919</v>
      </c>
      <c r="I213">
        <v>0</v>
      </c>
      <c r="J213" t="s">
        <v>24</v>
      </c>
      <c r="K213">
        <v>0</v>
      </c>
      <c r="L213" t="s">
        <v>24</v>
      </c>
      <c r="M213" t="s">
        <v>24</v>
      </c>
      <c r="N213" t="s">
        <v>920</v>
      </c>
      <c r="O213" t="s">
        <v>921</v>
      </c>
      <c r="P213" t="s">
        <v>24</v>
      </c>
      <c r="Q213" t="s">
        <v>24</v>
      </c>
    </row>
    <row r="214" spans="1:17" x14ac:dyDescent="0.25">
      <c r="A214">
        <v>419</v>
      </c>
      <c r="B214" t="s">
        <v>922</v>
      </c>
      <c r="C214" t="s">
        <v>24</v>
      </c>
      <c r="D214" t="s">
        <v>923</v>
      </c>
      <c r="E214" t="s">
        <v>39</v>
      </c>
      <c r="F214">
        <v>1</v>
      </c>
      <c r="G214">
        <v>0</v>
      </c>
      <c r="H214" t="s">
        <v>254</v>
      </c>
      <c r="I214">
        <v>0</v>
      </c>
      <c r="J214" t="s">
        <v>24</v>
      </c>
      <c r="K214">
        <v>0</v>
      </c>
      <c r="L214" t="s">
        <v>24</v>
      </c>
      <c r="M214" t="s">
        <v>24</v>
      </c>
      <c r="N214" t="s">
        <v>924</v>
      </c>
      <c r="O214" t="s">
        <v>925</v>
      </c>
      <c r="P214" t="s">
        <v>24</v>
      </c>
      <c r="Q214" t="s">
        <v>24</v>
      </c>
    </row>
    <row r="215" spans="1:17" x14ac:dyDescent="0.25">
      <c r="A215">
        <v>420</v>
      </c>
      <c r="B215" t="s">
        <v>926</v>
      </c>
      <c r="C215" t="s">
        <v>24</v>
      </c>
      <c r="D215" t="s">
        <v>927</v>
      </c>
      <c r="E215" t="s">
        <v>192</v>
      </c>
      <c r="F215">
        <v>1</v>
      </c>
      <c r="G215">
        <v>0</v>
      </c>
      <c r="H215" t="s">
        <v>254</v>
      </c>
      <c r="I215">
        <v>0</v>
      </c>
      <c r="J215" t="s">
        <v>24</v>
      </c>
      <c r="K215">
        <v>0</v>
      </c>
      <c r="L215" t="s">
        <v>24</v>
      </c>
      <c r="M215" t="s">
        <v>24</v>
      </c>
      <c r="N215" t="s">
        <v>928</v>
      </c>
      <c r="O215" t="s">
        <v>929</v>
      </c>
      <c r="P215" t="s">
        <v>24</v>
      </c>
      <c r="Q215" t="s">
        <v>24</v>
      </c>
    </row>
    <row r="216" spans="1:17" x14ac:dyDescent="0.25">
      <c r="A216">
        <v>421</v>
      </c>
      <c r="B216" t="s">
        <v>930</v>
      </c>
      <c r="C216" t="s">
        <v>477</v>
      </c>
      <c r="D216" t="s">
        <v>931</v>
      </c>
      <c r="E216" t="s">
        <v>39</v>
      </c>
      <c r="F216">
        <v>1</v>
      </c>
      <c r="G216">
        <v>0</v>
      </c>
      <c r="H216" t="s">
        <v>477</v>
      </c>
      <c r="I216">
        <v>1</v>
      </c>
      <c r="J216" t="s">
        <v>24</v>
      </c>
      <c r="K216">
        <v>0</v>
      </c>
      <c r="L216" t="s">
        <v>24</v>
      </c>
      <c r="M216" t="s">
        <v>24</v>
      </c>
      <c r="N216" t="s">
        <v>932</v>
      </c>
      <c r="O216" t="s">
        <v>933</v>
      </c>
      <c r="P216" t="s">
        <v>24</v>
      </c>
      <c r="Q216" t="s">
        <v>24</v>
      </c>
    </row>
    <row r="217" spans="1:17" x14ac:dyDescent="0.25">
      <c r="A217">
        <v>423</v>
      </c>
      <c r="B217" t="s">
        <v>934</v>
      </c>
      <c r="C217" t="s">
        <v>24</v>
      </c>
      <c r="D217" t="s">
        <v>935</v>
      </c>
      <c r="E217" t="s">
        <v>39</v>
      </c>
      <c r="F217">
        <v>1</v>
      </c>
      <c r="G217">
        <v>0</v>
      </c>
      <c r="H217" t="s">
        <v>254</v>
      </c>
      <c r="I217">
        <v>0</v>
      </c>
      <c r="J217" t="s">
        <v>24</v>
      </c>
      <c r="K217">
        <v>0</v>
      </c>
      <c r="L217" t="s">
        <v>24</v>
      </c>
      <c r="M217" t="s">
        <v>24</v>
      </c>
      <c r="N217" t="s">
        <v>936</v>
      </c>
      <c r="O217" t="s">
        <v>937</v>
      </c>
      <c r="P217" t="s">
        <v>24</v>
      </c>
      <c r="Q217" t="s">
        <v>24</v>
      </c>
    </row>
    <row r="218" spans="1:17" x14ac:dyDescent="0.25">
      <c r="A218">
        <v>424</v>
      </c>
      <c r="B218" t="s">
        <v>938</v>
      </c>
      <c r="C218" t="s">
        <v>24</v>
      </c>
      <c r="D218" t="s">
        <v>939</v>
      </c>
      <c r="E218" t="s">
        <v>39</v>
      </c>
      <c r="F218">
        <v>0</v>
      </c>
      <c r="G218">
        <v>0</v>
      </c>
      <c r="H218" t="s">
        <v>940</v>
      </c>
      <c r="I218">
        <v>1</v>
      </c>
      <c r="J218" t="s">
        <v>24</v>
      </c>
      <c r="K218">
        <v>0</v>
      </c>
      <c r="L218" t="s">
        <v>24</v>
      </c>
      <c r="M218" t="s">
        <v>24</v>
      </c>
      <c r="N218" t="s">
        <v>941</v>
      </c>
      <c r="O218" t="s">
        <v>942</v>
      </c>
      <c r="P218" t="s">
        <v>24</v>
      </c>
      <c r="Q218" t="s">
        <v>24</v>
      </c>
    </row>
    <row r="219" spans="1:17" x14ac:dyDescent="0.25">
      <c r="A219">
        <v>425</v>
      </c>
      <c r="B219" t="s">
        <v>943</v>
      </c>
      <c r="C219" t="s">
        <v>24</v>
      </c>
      <c r="D219" t="s">
        <v>944</v>
      </c>
      <c r="E219" t="s">
        <v>39</v>
      </c>
      <c r="F219">
        <v>0</v>
      </c>
      <c r="G219">
        <v>0</v>
      </c>
      <c r="H219" t="s">
        <v>945</v>
      </c>
      <c r="I219">
        <v>1</v>
      </c>
      <c r="J219" t="s">
        <v>24</v>
      </c>
      <c r="K219">
        <v>0</v>
      </c>
      <c r="L219" t="s">
        <v>24</v>
      </c>
      <c r="M219" t="s">
        <v>24</v>
      </c>
      <c r="N219" t="s">
        <v>946</v>
      </c>
      <c r="O219" t="s">
        <v>947</v>
      </c>
      <c r="P219" t="s">
        <v>24</v>
      </c>
      <c r="Q219" t="s">
        <v>24</v>
      </c>
    </row>
    <row r="220" spans="1:17" x14ac:dyDescent="0.25">
      <c r="A220">
        <v>426</v>
      </c>
      <c r="B220" t="s">
        <v>948</v>
      </c>
      <c r="C220" t="s">
        <v>24</v>
      </c>
      <c r="D220" t="s">
        <v>949</v>
      </c>
      <c r="E220" t="s">
        <v>27</v>
      </c>
      <c r="F220">
        <v>1</v>
      </c>
      <c r="G220">
        <v>0</v>
      </c>
      <c r="H220" t="s">
        <v>28</v>
      </c>
      <c r="I220">
        <v>1</v>
      </c>
      <c r="J220" t="s">
        <v>24</v>
      </c>
      <c r="K220">
        <v>1</v>
      </c>
      <c r="L220" t="s">
        <v>24</v>
      </c>
      <c r="M220" t="s">
        <v>24</v>
      </c>
      <c r="N220" t="s">
        <v>950</v>
      </c>
      <c r="O220" t="s">
        <v>951</v>
      </c>
      <c r="P220" t="s">
        <v>24</v>
      </c>
      <c r="Q220" t="s">
        <v>24</v>
      </c>
    </row>
    <row r="221" spans="1:17" x14ac:dyDescent="0.25">
      <c r="A221">
        <v>427</v>
      </c>
      <c r="B221" t="s">
        <v>952</v>
      </c>
      <c r="C221" t="s">
        <v>953</v>
      </c>
      <c r="D221" t="s">
        <v>954</v>
      </c>
      <c r="E221" t="s">
        <v>27</v>
      </c>
      <c r="F221">
        <v>1</v>
      </c>
      <c r="G221">
        <v>0</v>
      </c>
      <c r="H221" t="s">
        <v>28</v>
      </c>
      <c r="I221">
        <v>1</v>
      </c>
      <c r="J221" t="s">
        <v>24</v>
      </c>
      <c r="K221">
        <v>1</v>
      </c>
      <c r="L221" t="s">
        <v>24</v>
      </c>
      <c r="M221" t="s">
        <v>24</v>
      </c>
      <c r="N221" t="s">
        <v>955</v>
      </c>
      <c r="O221" t="s">
        <v>956</v>
      </c>
      <c r="P221" t="s">
        <v>24</v>
      </c>
      <c r="Q221" t="s">
        <v>24</v>
      </c>
    </row>
    <row r="222" spans="1:17" x14ac:dyDescent="0.25">
      <c r="A222">
        <v>459</v>
      </c>
      <c r="B222" t="s">
        <v>957</v>
      </c>
      <c r="C222" t="s">
        <v>24</v>
      </c>
      <c r="D222" t="s">
        <v>958</v>
      </c>
      <c r="E222" t="s">
        <v>27</v>
      </c>
      <c r="F222">
        <v>0</v>
      </c>
      <c r="G222">
        <v>0</v>
      </c>
      <c r="H222" t="s">
        <v>139</v>
      </c>
      <c r="I222">
        <v>1</v>
      </c>
      <c r="J222" t="s">
        <v>24</v>
      </c>
      <c r="K222">
        <v>0</v>
      </c>
      <c r="L222" t="s">
        <v>24</v>
      </c>
      <c r="M222" t="s">
        <v>24</v>
      </c>
      <c r="N222" t="s">
        <v>959</v>
      </c>
      <c r="O222" t="s">
        <v>960</v>
      </c>
      <c r="P222" t="s">
        <v>24</v>
      </c>
      <c r="Q222" t="s">
        <v>24</v>
      </c>
    </row>
    <row r="223" spans="1:17" x14ac:dyDescent="0.25">
      <c r="A223">
        <v>438</v>
      </c>
      <c r="B223" t="s">
        <v>961</v>
      </c>
      <c r="C223" t="s">
        <v>962</v>
      </c>
      <c r="D223" t="s">
        <v>963</v>
      </c>
      <c r="E223" t="s">
        <v>192</v>
      </c>
      <c r="F223">
        <v>1</v>
      </c>
      <c r="G223">
        <v>0</v>
      </c>
      <c r="H223" t="s">
        <v>964</v>
      </c>
      <c r="I223">
        <v>1</v>
      </c>
      <c r="J223" t="s">
        <v>24</v>
      </c>
      <c r="K223">
        <v>0</v>
      </c>
      <c r="L223" t="s">
        <v>24</v>
      </c>
      <c r="M223" t="s">
        <v>24</v>
      </c>
      <c r="N223" t="s">
        <v>965</v>
      </c>
      <c r="O223" t="s">
        <v>966</v>
      </c>
      <c r="P223" t="s">
        <v>24</v>
      </c>
      <c r="Q223" t="s">
        <v>24</v>
      </c>
    </row>
    <row r="224" spans="1:17" x14ac:dyDescent="0.25">
      <c r="A224">
        <v>428</v>
      </c>
      <c r="B224" t="s">
        <v>967</v>
      </c>
      <c r="C224" t="s">
        <v>24</v>
      </c>
      <c r="D224" t="s">
        <v>968</v>
      </c>
      <c r="E224" t="s">
        <v>39</v>
      </c>
      <c r="F224">
        <v>1</v>
      </c>
      <c r="G224">
        <v>0</v>
      </c>
      <c r="H224" t="s">
        <v>969</v>
      </c>
      <c r="I224">
        <v>0</v>
      </c>
      <c r="J224" t="s">
        <v>24</v>
      </c>
      <c r="K224">
        <v>0</v>
      </c>
      <c r="L224" t="s">
        <v>24</v>
      </c>
      <c r="M224" t="s">
        <v>24</v>
      </c>
      <c r="N224" t="s">
        <v>970</v>
      </c>
      <c r="O224" t="s">
        <v>1191</v>
      </c>
      <c r="P224" t="s">
        <v>24</v>
      </c>
      <c r="Q224" t="s">
        <v>24</v>
      </c>
    </row>
    <row r="225" spans="1:17" x14ac:dyDescent="0.25">
      <c r="A225">
        <v>429</v>
      </c>
      <c r="B225" t="s">
        <v>971</v>
      </c>
      <c r="C225" t="s">
        <v>24</v>
      </c>
      <c r="D225" t="s">
        <v>972</v>
      </c>
      <c r="E225" t="s">
        <v>39</v>
      </c>
      <c r="F225">
        <v>1</v>
      </c>
      <c r="G225">
        <v>0</v>
      </c>
      <c r="H225" t="s">
        <v>973</v>
      </c>
      <c r="I225">
        <v>0</v>
      </c>
      <c r="J225" t="s">
        <v>24</v>
      </c>
      <c r="K225">
        <v>0</v>
      </c>
      <c r="L225" t="s">
        <v>24</v>
      </c>
      <c r="M225" t="s">
        <v>24</v>
      </c>
      <c r="N225" t="s">
        <v>974</v>
      </c>
      <c r="O225" t="s">
        <v>975</v>
      </c>
      <c r="P225" t="s">
        <v>24</v>
      </c>
      <c r="Q225" t="s">
        <v>24</v>
      </c>
    </row>
    <row r="226" spans="1:17" x14ac:dyDescent="0.25">
      <c r="A226">
        <v>430</v>
      </c>
      <c r="B226" t="s">
        <v>976</v>
      </c>
      <c r="C226" t="s">
        <v>24</v>
      </c>
      <c r="D226" t="s">
        <v>977</v>
      </c>
      <c r="E226" t="s">
        <v>39</v>
      </c>
      <c r="F226">
        <v>1</v>
      </c>
      <c r="G226">
        <v>0</v>
      </c>
      <c r="H226" t="s">
        <v>188</v>
      </c>
      <c r="I226">
        <v>1</v>
      </c>
      <c r="J226" t="s">
        <v>24</v>
      </c>
      <c r="K226">
        <v>0</v>
      </c>
      <c r="L226" t="s">
        <v>24</v>
      </c>
      <c r="M226" t="s">
        <v>24</v>
      </c>
      <c r="N226" t="s">
        <v>978</v>
      </c>
      <c r="O226" t="s">
        <v>979</v>
      </c>
      <c r="P226" t="s">
        <v>24</v>
      </c>
      <c r="Q226" t="s">
        <v>24</v>
      </c>
    </row>
    <row r="227" spans="1:17" x14ac:dyDescent="0.25">
      <c r="A227">
        <v>431</v>
      </c>
      <c r="B227" t="s">
        <v>980</v>
      </c>
      <c r="C227" t="s">
        <v>24</v>
      </c>
      <c r="D227" t="s">
        <v>981</v>
      </c>
      <c r="E227" t="s">
        <v>39</v>
      </c>
      <c r="F227">
        <v>1</v>
      </c>
      <c r="G227">
        <v>0</v>
      </c>
      <c r="H227" t="s">
        <v>745</v>
      </c>
      <c r="I227">
        <v>1</v>
      </c>
      <c r="J227" t="s">
        <v>24</v>
      </c>
      <c r="K227">
        <v>0</v>
      </c>
      <c r="L227" t="s">
        <v>24</v>
      </c>
      <c r="M227" t="s">
        <v>24</v>
      </c>
      <c r="N227" t="s">
        <v>982</v>
      </c>
      <c r="O227" t="s">
        <v>983</v>
      </c>
      <c r="P227" t="s">
        <v>24</v>
      </c>
      <c r="Q227" t="s">
        <v>24</v>
      </c>
    </row>
    <row r="228" spans="1:17" x14ac:dyDescent="0.25">
      <c r="A228">
        <v>433</v>
      </c>
      <c r="B228" t="s">
        <v>984</v>
      </c>
      <c r="C228" t="s">
        <v>24</v>
      </c>
      <c r="D228" t="s">
        <v>985</v>
      </c>
      <c r="E228" t="s">
        <v>172</v>
      </c>
      <c r="F228">
        <v>1</v>
      </c>
      <c r="G228">
        <v>0</v>
      </c>
      <c r="H228" t="s">
        <v>431</v>
      </c>
      <c r="I228">
        <v>0</v>
      </c>
      <c r="J228" t="s">
        <v>24</v>
      </c>
      <c r="K228">
        <v>0</v>
      </c>
      <c r="L228" t="s">
        <v>24</v>
      </c>
      <c r="M228" t="s">
        <v>24</v>
      </c>
      <c r="N228" t="s">
        <v>986</v>
      </c>
      <c r="O228" t="s">
        <v>987</v>
      </c>
      <c r="P228" t="s">
        <v>24</v>
      </c>
      <c r="Q228" t="s">
        <v>24</v>
      </c>
    </row>
    <row r="229" spans="1:17" x14ac:dyDescent="0.25">
      <c r="A229">
        <v>434</v>
      </c>
      <c r="B229" t="s">
        <v>988</v>
      </c>
      <c r="C229" t="s">
        <v>24</v>
      </c>
      <c r="D229" t="s">
        <v>989</v>
      </c>
      <c r="E229" t="s">
        <v>172</v>
      </c>
      <c r="F229">
        <v>1</v>
      </c>
      <c r="G229">
        <v>0</v>
      </c>
      <c r="H229" t="s">
        <v>990</v>
      </c>
      <c r="I229">
        <v>0</v>
      </c>
      <c r="J229" t="s">
        <v>24</v>
      </c>
      <c r="K229">
        <v>0</v>
      </c>
      <c r="L229" t="s">
        <v>24</v>
      </c>
      <c r="M229" t="s">
        <v>24</v>
      </c>
      <c r="N229" t="s">
        <v>991</v>
      </c>
      <c r="O229" t="s">
        <v>992</v>
      </c>
      <c r="P229" t="s">
        <v>24</v>
      </c>
      <c r="Q229" t="s">
        <v>24</v>
      </c>
    </row>
    <row r="230" spans="1:17" x14ac:dyDescent="0.25">
      <c r="A230">
        <v>435</v>
      </c>
      <c r="B230" t="s">
        <v>993</v>
      </c>
      <c r="D230" t="s">
        <v>994</v>
      </c>
      <c r="E230" t="s">
        <v>39</v>
      </c>
      <c r="F230">
        <v>1</v>
      </c>
      <c r="G230">
        <v>0</v>
      </c>
      <c r="H230" t="s">
        <v>995</v>
      </c>
      <c r="I230">
        <v>0</v>
      </c>
      <c r="J230" t="s">
        <v>24</v>
      </c>
      <c r="K230">
        <v>0</v>
      </c>
      <c r="L230" t="s">
        <v>24</v>
      </c>
      <c r="M230" t="s">
        <v>24</v>
      </c>
      <c r="N230" t="s">
        <v>996</v>
      </c>
      <c r="O230" t="s">
        <v>1192</v>
      </c>
      <c r="P230" t="s">
        <v>24</v>
      </c>
      <c r="Q230" t="s">
        <v>24</v>
      </c>
    </row>
    <row r="231" spans="1:17" x14ac:dyDescent="0.25">
      <c r="A231">
        <v>436</v>
      </c>
      <c r="B231" t="s">
        <v>997</v>
      </c>
      <c r="D231" t="s">
        <v>998</v>
      </c>
      <c r="E231" t="s">
        <v>39</v>
      </c>
      <c r="F231">
        <v>0</v>
      </c>
      <c r="G231">
        <v>0</v>
      </c>
      <c r="I231">
        <v>1</v>
      </c>
      <c r="J231" t="s">
        <v>24</v>
      </c>
      <c r="K231">
        <v>0</v>
      </c>
      <c r="L231" t="s">
        <v>24</v>
      </c>
      <c r="M231" t="s">
        <v>24</v>
      </c>
      <c r="N231" t="s">
        <v>999</v>
      </c>
      <c r="O231" t="s">
        <v>1196</v>
      </c>
      <c r="P231" t="s">
        <v>1000</v>
      </c>
      <c r="Q231" t="s">
        <v>24</v>
      </c>
    </row>
    <row r="232" spans="1:17" x14ac:dyDescent="0.25">
      <c r="A232">
        <v>448</v>
      </c>
      <c r="B232" t="s">
        <v>1001</v>
      </c>
      <c r="C232" t="s">
        <v>24</v>
      </c>
      <c r="D232" t="s">
        <v>1002</v>
      </c>
      <c r="E232" t="s">
        <v>39</v>
      </c>
      <c r="F232">
        <v>1</v>
      </c>
      <c r="G232">
        <v>0</v>
      </c>
      <c r="H232" t="s">
        <v>1003</v>
      </c>
      <c r="I232">
        <v>1</v>
      </c>
      <c r="J232" t="s">
        <v>24</v>
      </c>
      <c r="K232">
        <v>0</v>
      </c>
      <c r="L232" t="s">
        <v>24</v>
      </c>
      <c r="M232" t="s">
        <v>24</v>
      </c>
      <c r="N232" t="s">
        <v>1004</v>
      </c>
      <c r="O232" t="s">
        <v>1005</v>
      </c>
      <c r="P232" t="s">
        <v>24</v>
      </c>
      <c r="Q232" t="s">
        <v>24</v>
      </c>
    </row>
    <row r="233" spans="1:17" x14ac:dyDescent="0.25">
      <c r="A233">
        <v>437</v>
      </c>
      <c r="B233" t="s">
        <v>1006</v>
      </c>
      <c r="C233" t="s">
        <v>24</v>
      </c>
      <c r="D233" t="s">
        <v>1007</v>
      </c>
      <c r="E233" t="s">
        <v>172</v>
      </c>
      <c r="F233">
        <v>1</v>
      </c>
      <c r="G233">
        <v>0</v>
      </c>
      <c r="H233" t="s">
        <v>139</v>
      </c>
      <c r="I233">
        <v>1</v>
      </c>
      <c r="J233" t="s">
        <v>1008</v>
      </c>
      <c r="K233">
        <v>0</v>
      </c>
      <c r="L233" t="s">
        <v>24</v>
      </c>
      <c r="M233" t="s">
        <v>24</v>
      </c>
      <c r="N233" t="s">
        <v>1009</v>
      </c>
      <c r="O233" t="s">
        <v>1010</v>
      </c>
      <c r="P233" t="s">
        <v>24</v>
      </c>
      <c r="Q233" t="s">
        <v>24</v>
      </c>
    </row>
    <row r="234" spans="1:17" x14ac:dyDescent="0.25">
      <c r="A234">
        <v>439</v>
      </c>
      <c r="B234" t="s">
        <v>1011</v>
      </c>
      <c r="C234" t="s">
        <v>24</v>
      </c>
      <c r="D234" t="s">
        <v>1012</v>
      </c>
      <c r="E234" t="s">
        <v>27</v>
      </c>
      <c r="F234">
        <v>1</v>
      </c>
      <c r="G234">
        <v>0</v>
      </c>
      <c r="H234" t="s">
        <v>964</v>
      </c>
      <c r="I234">
        <v>1</v>
      </c>
      <c r="J234" t="s">
        <v>24</v>
      </c>
      <c r="K234">
        <v>0</v>
      </c>
      <c r="L234" t="s">
        <v>24</v>
      </c>
      <c r="M234" t="s">
        <v>24</v>
      </c>
      <c r="N234" t="s">
        <v>1013</v>
      </c>
      <c r="O234" t="s">
        <v>1014</v>
      </c>
      <c r="P234" t="s">
        <v>24</v>
      </c>
      <c r="Q234" t="s">
        <v>24</v>
      </c>
    </row>
    <row r="235" spans="1:17" x14ac:dyDescent="0.25">
      <c r="A235">
        <v>440</v>
      </c>
      <c r="B235" t="s">
        <v>1015</v>
      </c>
      <c r="C235" t="s">
        <v>24</v>
      </c>
      <c r="D235" t="s">
        <v>1016</v>
      </c>
      <c r="E235" t="s">
        <v>27</v>
      </c>
      <c r="F235">
        <v>1</v>
      </c>
      <c r="G235">
        <v>0</v>
      </c>
      <c r="H235" t="s">
        <v>964</v>
      </c>
      <c r="I235">
        <v>0</v>
      </c>
      <c r="J235" t="s">
        <v>24</v>
      </c>
      <c r="K235">
        <v>0</v>
      </c>
      <c r="L235" t="s">
        <v>24</v>
      </c>
      <c r="M235" t="s">
        <v>24</v>
      </c>
      <c r="N235" t="s">
        <v>1017</v>
      </c>
      <c r="O235" t="s">
        <v>1018</v>
      </c>
      <c r="P235" t="s">
        <v>24</v>
      </c>
      <c r="Q235" t="s">
        <v>24</v>
      </c>
    </row>
    <row r="236" spans="1:17" x14ac:dyDescent="0.25">
      <c r="A236">
        <v>450</v>
      </c>
      <c r="B236" t="s">
        <v>1019</v>
      </c>
      <c r="C236" t="s">
        <v>24</v>
      </c>
      <c r="D236" t="s">
        <v>1020</v>
      </c>
      <c r="E236" t="s">
        <v>27</v>
      </c>
      <c r="F236">
        <v>1</v>
      </c>
      <c r="G236">
        <v>0</v>
      </c>
      <c r="H236" t="s">
        <v>431</v>
      </c>
      <c r="I236">
        <v>0</v>
      </c>
      <c r="J236" t="s">
        <v>24</v>
      </c>
      <c r="K236">
        <v>0</v>
      </c>
      <c r="L236" t="s">
        <v>24</v>
      </c>
      <c r="M236" t="s">
        <v>24</v>
      </c>
      <c r="N236" t="s">
        <v>1021</v>
      </c>
      <c r="O236" t="s">
        <v>1022</v>
      </c>
      <c r="P236" t="s">
        <v>24</v>
      </c>
      <c r="Q236" t="s">
        <v>24</v>
      </c>
    </row>
    <row r="237" spans="1:17" x14ac:dyDescent="0.25">
      <c r="A237">
        <v>441</v>
      </c>
      <c r="B237" t="s">
        <v>1023</v>
      </c>
      <c r="C237" t="s">
        <v>24</v>
      </c>
      <c r="D237" t="s">
        <v>1024</v>
      </c>
      <c r="E237" t="s">
        <v>39</v>
      </c>
      <c r="F237">
        <v>1</v>
      </c>
      <c r="G237">
        <v>0</v>
      </c>
      <c r="H237" t="s">
        <v>1025</v>
      </c>
      <c r="I237">
        <v>0</v>
      </c>
      <c r="J237" t="s">
        <v>24</v>
      </c>
      <c r="K237">
        <v>0</v>
      </c>
      <c r="L237" t="s">
        <v>24</v>
      </c>
      <c r="M237" t="s">
        <v>24</v>
      </c>
      <c r="N237" t="s">
        <v>1026</v>
      </c>
      <c r="O237" t="s">
        <v>1027</v>
      </c>
      <c r="P237" t="s">
        <v>24</v>
      </c>
      <c r="Q237" t="s">
        <v>24</v>
      </c>
    </row>
    <row r="238" spans="1:17" x14ac:dyDescent="0.25">
      <c r="A238">
        <v>442</v>
      </c>
      <c r="B238" t="s">
        <v>1028</v>
      </c>
      <c r="C238" t="s">
        <v>1029</v>
      </c>
      <c r="D238" t="s">
        <v>1030</v>
      </c>
      <c r="E238" t="s">
        <v>39</v>
      </c>
      <c r="F238">
        <v>1</v>
      </c>
      <c r="G238">
        <v>0</v>
      </c>
      <c r="H238" t="s">
        <v>1031</v>
      </c>
      <c r="I238">
        <v>0</v>
      </c>
      <c r="J238" t="s">
        <v>24</v>
      </c>
      <c r="K238">
        <v>0</v>
      </c>
      <c r="L238" t="s">
        <v>24</v>
      </c>
      <c r="M238" t="s">
        <v>24</v>
      </c>
      <c r="N238" t="s">
        <v>1032</v>
      </c>
      <c r="O238" t="s">
        <v>1193</v>
      </c>
      <c r="P238" t="s">
        <v>24</v>
      </c>
      <c r="Q238" t="s">
        <v>24</v>
      </c>
    </row>
    <row r="239" spans="1:17" x14ac:dyDescent="0.25">
      <c r="A239">
        <v>443</v>
      </c>
      <c r="B239" t="s">
        <v>1033</v>
      </c>
      <c r="C239" t="s">
        <v>24</v>
      </c>
      <c r="D239" t="s">
        <v>1034</v>
      </c>
      <c r="E239" t="s">
        <v>39</v>
      </c>
      <c r="F239">
        <v>1</v>
      </c>
      <c r="G239">
        <v>0</v>
      </c>
      <c r="H239" t="s">
        <v>1035</v>
      </c>
      <c r="I239">
        <v>0</v>
      </c>
      <c r="J239" t="s">
        <v>24</v>
      </c>
      <c r="K239">
        <v>0</v>
      </c>
      <c r="L239" t="s">
        <v>24</v>
      </c>
      <c r="M239" t="s">
        <v>24</v>
      </c>
      <c r="N239" t="s">
        <v>1036</v>
      </c>
      <c r="O239" t="s">
        <v>1037</v>
      </c>
      <c r="P239" t="s">
        <v>24</v>
      </c>
      <c r="Q239" t="s">
        <v>24</v>
      </c>
    </row>
    <row r="240" spans="1:17" x14ac:dyDescent="0.25">
      <c r="A240">
        <v>444</v>
      </c>
      <c r="B240" t="s">
        <v>1038</v>
      </c>
      <c r="C240" t="s">
        <v>24</v>
      </c>
      <c r="D240" t="s">
        <v>1039</v>
      </c>
      <c r="E240" t="s">
        <v>172</v>
      </c>
      <c r="F240">
        <v>1</v>
      </c>
      <c r="G240">
        <v>0</v>
      </c>
      <c r="H240" t="s">
        <v>1040</v>
      </c>
      <c r="I240">
        <v>1</v>
      </c>
      <c r="J240" t="s">
        <v>24</v>
      </c>
      <c r="K240">
        <v>0</v>
      </c>
      <c r="L240" t="s">
        <v>24</v>
      </c>
      <c r="M240" t="s">
        <v>24</v>
      </c>
      <c r="N240" t="s">
        <v>1041</v>
      </c>
      <c r="O240" t="s">
        <v>1042</v>
      </c>
      <c r="P240" t="s">
        <v>24</v>
      </c>
      <c r="Q240" t="s">
        <v>24</v>
      </c>
    </row>
    <row r="241" spans="1:17" x14ac:dyDescent="0.25">
      <c r="A241">
        <v>445</v>
      </c>
      <c r="B241" t="s">
        <v>1043</v>
      </c>
      <c r="C241" t="s">
        <v>24</v>
      </c>
      <c r="D241" t="s">
        <v>1044</v>
      </c>
      <c r="E241" t="s">
        <v>39</v>
      </c>
      <c r="F241">
        <v>0</v>
      </c>
      <c r="G241">
        <v>0</v>
      </c>
      <c r="H241" t="s">
        <v>1045</v>
      </c>
      <c r="I241">
        <v>1</v>
      </c>
      <c r="J241" t="s">
        <v>24</v>
      </c>
      <c r="K241">
        <v>0</v>
      </c>
      <c r="L241" t="s">
        <v>24</v>
      </c>
      <c r="M241" t="s">
        <v>24</v>
      </c>
      <c r="N241" t="s">
        <v>1046</v>
      </c>
      <c r="O241" t="s">
        <v>1047</v>
      </c>
      <c r="P241" t="s">
        <v>24</v>
      </c>
      <c r="Q241" t="s">
        <v>24</v>
      </c>
    </row>
    <row r="242" spans="1:17" x14ac:dyDescent="0.25">
      <c r="A242">
        <v>446</v>
      </c>
      <c r="B242" t="s">
        <v>1048</v>
      </c>
      <c r="C242" t="s">
        <v>24</v>
      </c>
      <c r="D242" t="s">
        <v>1049</v>
      </c>
      <c r="E242" t="s">
        <v>39</v>
      </c>
      <c r="F242">
        <v>0</v>
      </c>
      <c r="G242">
        <v>0</v>
      </c>
      <c r="H242" t="s">
        <v>28</v>
      </c>
      <c r="I242">
        <v>1</v>
      </c>
      <c r="J242" t="s">
        <v>24</v>
      </c>
      <c r="K242">
        <v>0</v>
      </c>
      <c r="L242" t="s">
        <v>24</v>
      </c>
      <c r="M242" t="s">
        <v>24</v>
      </c>
      <c r="N242" t="s">
        <v>1050</v>
      </c>
      <c r="O242" t="s">
        <v>1194</v>
      </c>
      <c r="P242" t="s">
        <v>24</v>
      </c>
      <c r="Q242" t="s">
        <v>24</v>
      </c>
    </row>
    <row r="243" spans="1:17" x14ac:dyDescent="0.25">
      <c r="A243">
        <v>447</v>
      </c>
      <c r="B243" t="s">
        <v>1051</v>
      </c>
      <c r="C243" t="s">
        <v>24</v>
      </c>
      <c r="D243" t="s">
        <v>1052</v>
      </c>
      <c r="E243" t="s">
        <v>39</v>
      </c>
      <c r="F243">
        <v>1</v>
      </c>
      <c r="G243">
        <v>0</v>
      </c>
      <c r="H243" t="s">
        <v>1053</v>
      </c>
      <c r="I243">
        <v>0</v>
      </c>
      <c r="J243" t="s">
        <v>24</v>
      </c>
      <c r="K243">
        <v>0</v>
      </c>
      <c r="L243" t="s">
        <v>24</v>
      </c>
      <c r="M243" t="s">
        <v>24</v>
      </c>
      <c r="N243" t="s">
        <v>1054</v>
      </c>
      <c r="O243" t="s">
        <v>1055</v>
      </c>
      <c r="P243" t="s">
        <v>24</v>
      </c>
      <c r="Q243" t="s">
        <v>24</v>
      </c>
    </row>
    <row r="244" spans="1:17" x14ac:dyDescent="0.25">
      <c r="A244">
        <v>449</v>
      </c>
      <c r="B244" t="s">
        <v>1056</v>
      </c>
      <c r="C244" t="s">
        <v>24</v>
      </c>
      <c r="D244" t="s">
        <v>1057</v>
      </c>
      <c r="E244" t="s">
        <v>172</v>
      </c>
      <c r="F244">
        <v>1</v>
      </c>
      <c r="G244">
        <v>0</v>
      </c>
      <c r="H244" t="s">
        <v>814</v>
      </c>
      <c r="I244">
        <v>1</v>
      </c>
      <c r="J244" t="s">
        <v>24</v>
      </c>
      <c r="K244">
        <v>0</v>
      </c>
      <c r="L244" t="s">
        <v>24</v>
      </c>
      <c r="M244" t="s">
        <v>24</v>
      </c>
      <c r="N244" t="s">
        <v>1058</v>
      </c>
      <c r="O244" t="s">
        <v>1059</v>
      </c>
      <c r="P244" t="s">
        <v>24</v>
      </c>
      <c r="Q244" t="s">
        <v>24</v>
      </c>
    </row>
    <row r="245" spans="1:17" x14ac:dyDescent="0.25">
      <c r="A245">
        <v>451</v>
      </c>
      <c r="B245" t="s">
        <v>1060</v>
      </c>
      <c r="C245" t="s">
        <v>24</v>
      </c>
      <c r="D245" t="s">
        <v>1061</v>
      </c>
      <c r="E245" t="s">
        <v>27</v>
      </c>
      <c r="F245">
        <v>1</v>
      </c>
      <c r="G245">
        <v>0</v>
      </c>
      <c r="H245" t="s">
        <v>96</v>
      </c>
      <c r="I245">
        <v>1</v>
      </c>
      <c r="J245" t="s">
        <v>24</v>
      </c>
      <c r="K245">
        <v>0</v>
      </c>
      <c r="L245" t="s">
        <v>24</v>
      </c>
      <c r="M245" t="s">
        <v>24</v>
      </c>
      <c r="N245" t="s">
        <v>1062</v>
      </c>
      <c r="O245" t="s">
        <v>1063</v>
      </c>
      <c r="P245" t="s">
        <v>24</v>
      </c>
      <c r="Q245" t="s">
        <v>24</v>
      </c>
    </row>
    <row r="246" spans="1:17" x14ac:dyDescent="0.25">
      <c r="A246">
        <v>452</v>
      </c>
      <c r="B246" t="s">
        <v>1064</v>
      </c>
      <c r="C246" t="s">
        <v>24</v>
      </c>
      <c r="D246" t="s">
        <v>1065</v>
      </c>
      <c r="E246" t="s">
        <v>39</v>
      </c>
      <c r="F246">
        <v>1</v>
      </c>
      <c r="G246">
        <v>0</v>
      </c>
      <c r="H246" t="s">
        <v>940</v>
      </c>
      <c r="I246">
        <v>1</v>
      </c>
      <c r="J246" t="s">
        <v>24</v>
      </c>
      <c r="K246">
        <v>0</v>
      </c>
      <c r="L246" t="s">
        <v>24</v>
      </c>
      <c r="M246" t="s">
        <v>24</v>
      </c>
      <c r="N246" t="s">
        <v>1066</v>
      </c>
      <c r="O246" t="s">
        <v>1067</v>
      </c>
      <c r="P246" t="s">
        <v>24</v>
      </c>
      <c r="Q246" t="s">
        <v>24</v>
      </c>
    </row>
    <row r="247" spans="1:17" x14ac:dyDescent="0.25">
      <c r="A247">
        <v>453</v>
      </c>
      <c r="B247" t="s">
        <v>1068</v>
      </c>
      <c r="C247" t="s">
        <v>24</v>
      </c>
      <c r="D247" t="s">
        <v>1069</v>
      </c>
      <c r="F247">
        <v>1</v>
      </c>
      <c r="G247">
        <v>0</v>
      </c>
      <c r="H247" t="s">
        <v>1068</v>
      </c>
      <c r="I247">
        <v>1</v>
      </c>
      <c r="J247" t="s">
        <v>24</v>
      </c>
      <c r="K247">
        <v>0</v>
      </c>
      <c r="L247" t="s">
        <v>24</v>
      </c>
      <c r="M247" t="s">
        <v>24</v>
      </c>
      <c r="N247" t="s">
        <v>1070</v>
      </c>
      <c r="O247" t="s">
        <v>1071</v>
      </c>
      <c r="P247" t="s">
        <v>24</v>
      </c>
      <c r="Q247" t="s">
        <v>24</v>
      </c>
    </row>
    <row r="248" spans="1:17" x14ac:dyDescent="0.25">
      <c r="A248">
        <v>469</v>
      </c>
      <c r="B248" t="s">
        <v>1072</v>
      </c>
      <c r="C248" t="s">
        <v>837</v>
      </c>
      <c r="D248" t="s">
        <v>838</v>
      </c>
      <c r="F248">
        <v>1</v>
      </c>
      <c r="G248">
        <v>0</v>
      </c>
      <c r="I248">
        <v>0</v>
      </c>
      <c r="J248" t="s">
        <v>24</v>
      </c>
      <c r="K248">
        <v>0</v>
      </c>
      <c r="L248" t="s">
        <v>24</v>
      </c>
      <c r="M248" t="s">
        <v>24</v>
      </c>
      <c r="O248" t="s">
        <v>1073</v>
      </c>
      <c r="P248" t="s">
        <v>24</v>
      </c>
      <c r="Q248" t="s">
        <v>24</v>
      </c>
    </row>
    <row r="249" spans="1:17" x14ac:dyDescent="0.25">
      <c r="A249">
        <v>470</v>
      </c>
      <c r="B249" t="s">
        <v>1074</v>
      </c>
      <c r="C249" t="s">
        <v>1075</v>
      </c>
      <c r="D249" t="s">
        <v>1076</v>
      </c>
      <c r="F249">
        <v>1</v>
      </c>
      <c r="G249">
        <v>0</v>
      </c>
      <c r="I249">
        <v>1</v>
      </c>
      <c r="J249" t="s">
        <v>24</v>
      </c>
      <c r="K249">
        <v>0</v>
      </c>
      <c r="L249" t="s">
        <v>24</v>
      </c>
      <c r="M249" t="s">
        <v>24</v>
      </c>
      <c r="O249" t="s">
        <v>1077</v>
      </c>
      <c r="P249" t="s">
        <v>24</v>
      </c>
      <c r="Q249" t="s">
        <v>24</v>
      </c>
    </row>
    <row r="250" spans="1:17" x14ac:dyDescent="0.25">
      <c r="A250">
        <v>471</v>
      </c>
      <c r="B250" t="s">
        <v>1078</v>
      </c>
      <c r="C250" t="s">
        <v>24</v>
      </c>
      <c r="D250" t="s">
        <v>1079</v>
      </c>
      <c r="F250">
        <v>1</v>
      </c>
      <c r="G250">
        <v>0</v>
      </c>
      <c r="I250">
        <v>0</v>
      </c>
      <c r="J250" t="s">
        <v>24</v>
      </c>
      <c r="K250">
        <v>0</v>
      </c>
      <c r="L250" t="s">
        <v>24</v>
      </c>
      <c r="M250" t="s">
        <v>24</v>
      </c>
      <c r="O250" t="s">
        <v>1080</v>
      </c>
      <c r="P250" t="s">
        <v>24</v>
      </c>
      <c r="Q250" t="s">
        <v>24</v>
      </c>
    </row>
    <row r="251" spans="1:17" x14ac:dyDescent="0.25">
      <c r="A251">
        <v>454</v>
      </c>
      <c r="B251" t="s">
        <v>1081</v>
      </c>
      <c r="C251" t="s">
        <v>1082</v>
      </c>
      <c r="D251" t="s">
        <v>1083</v>
      </c>
      <c r="E251" t="s">
        <v>39</v>
      </c>
      <c r="F251">
        <v>1</v>
      </c>
      <c r="G251">
        <v>0</v>
      </c>
      <c r="I251">
        <v>0</v>
      </c>
      <c r="J251" t="s">
        <v>24</v>
      </c>
      <c r="K251">
        <v>0</v>
      </c>
      <c r="L251" t="s">
        <v>24</v>
      </c>
      <c r="M251" t="s">
        <v>24</v>
      </c>
      <c r="O251" t="s">
        <v>1084</v>
      </c>
      <c r="P251" t="s">
        <v>24</v>
      </c>
      <c r="Q251" t="s">
        <v>24</v>
      </c>
    </row>
    <row r="252" spans="1:17" x14ac:dyDescent="0.25">
      <c r="A252">
        <v>455</v>
      </c>
      <c r="B252" t="s">
        <v>1085</v>
      </c>
      <c r="D252" t="s">
        <v>1086</v>
      </c>
      <c r="E252" t="s">
        <v>192</v>
      </c>
      <c r="F252">
        <v>1</v>
      </c>
      <c r="G252">
        <v>0</v>
      </c>
      <c r="H252" t="s">
        <v>1087</v>
      </c>
      <c r="I252">
        <v>0</v>
      </c>
      <c r="J252" t="s">
        <v>1088</v>
      </c>
      <c r="K252">
        <v>0</v>
      </c>
      <c r="L252" t="s">
        <v>24</v>
      </c>
      <c r="M252" t="s">
        <v>24</v>
      </c>
      <c r="N252" t="s">
        <v>1089</v>
      </c>
      <c r="O252" t="s">
        <v>1090</v>
      </c>
      <c r="P252" t="s">
        <v>24</v>
      </c>
      <c r="Q252" t="s">
        <v>24</v>
      </c>
    </row>
    <row r="253" spans="1:17" x14ac:dyDescent="0.25">
      <c r="A253">
        <v>456</v>
      </c>
      <c r="B253" t="s">
        <v>1091</v>
      </c>
      <c r="D253" t="s">
        <v>1092</v>
      </c>
      <c r="F253">
        <v>1</v>
      </c>
      <c r="G253">
        <v>0</v>
      </c>
      <c r="H253" t="s">
        <v>1093</v>
      </c>
      <c r="I253">
        <v>0</v>
      </c>
      <c r="J253" t="s">
        <v>24</v>
      </c>
      <c r="K253">
        <v>0</v>
      </c>
      <c r="L253" t="s">
        <v>24</v>
      </c>
      <c r="M253" t="s">
        <v>24</v>
      </c>
      <c r="N253" t="s">
        <v>1094</v>
      </c>
      <c r="O253" t="s">
        <v>1095</v>
      </c>
      <c r="P253" t="s">
        <v>24</v>
      </c>
      <c r="Q253" t="s">
        <v>24</v>
      </c>
    </row>
    <row r="254" spans="1:17" x14ac:dyDescent="0.25">
      <c r="A254">
        <v>458</v>
      </c>
      <c r="B254" t="s">
        <v>1096</v>
      </c>
      <c r="C254" t="s">
        <v>24</v>
      </c>
      <c r="D254" t="s">
        <v>1097</v>
      </c>
      <c r="E254" t="s">
        <v>172</v>
      </c>
      <c r="F254">
        <v>1</v>
      </c>
      <c r="G254">
        <v>0</v>
      </c>
      <c r="H254" t="s">
        <v>1098</v>
      </c>
      <c r="I254">
        <v>0</v>
      </c>
      <c r="J254" t="s">
        <v>24</v>
      </c>
      <c r="K254">
        <v>0</v>
      </c>
      <c r="L254" t="s">
        <v>24</v>
      </c>
      <c r="M254" t="s">
        <v>24</v>
      </c>
      <c r="N254" t="s">
        <v>1099</v>
      </c>
      <c r="O254" t="s">
        <v>1100</v>
      </c>
      <c r="P254" t="s">
        <v>24</v>
      </c>
      <c r="Q254" t="s">
        <v>24</v>
      </c>
    </row>
    <row r="255" spans="1:17" x14ac:dyDescent="0.25">
      <c r="A255">
        <v>460</v>
      </c>
      <c r="B255" t="s">
        <v>1101</v>
      </c>
      <c r="D255" t="s">
        <v>1102</v>
      </c>
      <c r="E255" t="s">
        <v>27</v>
      </c>
      <c r="F255">
        <v>1</v>
      </c>
      <c r="G255">
        <v>1</v>
      </c>
      <c r="H255" t="s">
        <v>139</v>
      </c>
      <c r="I255">
        <v>1</v>
      </c>
      <c r="J255" t="s">
        <v>24</v>
      </c>
      <c r="K255">
        <v>0</v>
      </c>
      <c r="L255" t="s">
        <v>24</v>
      </c>
      <c r="M255" t="s">
        <v>24</v>
      </c>
      <c r="N255" t="s">
        <v>1103</v>
      </c>
      <c r="O255" t="s">
        <v>1197</v>
      </c>
      <c r="P255" t="s">
        <v>24</v>
      </c>
      <c r="Q255" t="s">
        <v>24</v>
      </c>
    </row>
    <row r="256" spans="1:17" x14ac:dyDescent="0.25">
      <c r="A256">
        <v>462</v>
      </c>
      <c r="B256" t="s">
        <v>1104</v>
      </c>
      <c r="C256" t="s">
        <v>24</v>
      </c>
      <c r="D256" t="s">
        <v>1105</v>
      </c>
      <c r="F256">
        <v>1</v>
      </c>
      <c r="G256">
        <v>0</v>
      </c>
      <c r="H256" t="s">
        <v>940</v>
      </c>
      <c r="I256">
        <v>1</v>
      </c>
      <c r="J256" t="s">
        <v>24</v>
      </c>
      <c r="K256">
        <v>0</v>
      </c>
      <c r="L256" t="s">
        <v>24</v>
      </c>
      <c r="M256" t="s">
        <v>24</v>
      </c>
      <c r="N256" t="s">
        <v>1106</v>
      </c>
      <c r="O256" t="s">
        <v>1107</v>
      </c>
      <c r="P256" t="s">
        <v>24</v>
      </c>
      <c r="Q256" t="s">
        <v>24</v>
      </c>
    </row>
    <row r="257" spans="1:17" x14ac:dyDescent="0.25">
      <c r="A257">
        <v>464</v>
      </c>
      <c r="B257" t="s">
        <v>1108</v>
      </c>
      <c r="C257" t="s">
        <v>24</v>
      </c>
      <c r="D257" t="s">
        <v>1109</v>
      </c>
      <c r="F257">
        <v>1</v>
      </c>
      <c r="G257">
        <v>0</v>
      </c>
      <c r="H257" t="s">
        <v>1108</v>
      </c>
      <c r="I257">
        <v>1</v>
      </c>
      <c r="J257" t="s">
        <v>24</v>
      </c>
      <c r="K257">
        <v>0</v>
      </c>
      <c r="L257" t="s">
        <v>24</v>
      </c>
      <c r="M257" t="s">
        <v>24</v>
      </c>
      <c r="N257" t="s">
        <v>1110</v>
      </c>
      <c r="O257" t="s">
        <v>1111</v>
      </c>
      <c r="P257" t="s">
        <v>24</v>
      </c>
      <c r="Q257" t="s">
        <v>24</v>
      </c>
    </row>
    <row r="258" spans="1:17" x14ac:dyDescent="0.25">
      <c r="A258">
        <v>465</v>
      </c>
      <c r="B258" t="s">
        <v>1112</v>
      </c>
      <c r="C258" t="s">
        <v>24</v>
      </c>
      <c r="D258" t="s">
        <v>1113</v>
      </c>
      <c r="F258">
        <v>0</v>
      </c>
      <c r="G258">
        <v>0</v>
      </c>
      <c r="I258">
        <v>0</v>
      </c>
      <c r="J258" t="s">
        <v>24</v>
      </c>
      <c r="K258">
        <v>0</v>
      </c>
      <c r="L258" t="s">
        <v>24</v>
      </c>
      <c r="M258" t="s">
        <v>24</v>
      </c>
      <c r="N258" t="s">
        <v>1114</v>
      </c>
      <c r="O258" t="s">
        <v>1115</v>
      </c>
      <c r="P258" t="s">
        <v>24</v>
      </c>
      <c r="Q258" t="s">
        <v>24</v>
      </c>
    </row>
    <row r="259" spans="1:17" x14ac:dyDescent="0.25">
      <c r="A259">
        <v>466</v>
      </c>
      <c r="B259" t="s">
        <v>1116</v>
      </c>
      <c r="C259" t="s">
        <v>24</v>
      </c>
      <c r="D259" t="s">
        <v>1117</v>
      </c>
      <c r="E259" t="s">
        <v>39</v>
      </c>
      <c r="F259">
        <v>1</v>
      </c>
      <c r="G259">
        <v>0</v>
      </c>
      <c r="H259" t="s">
        <v>814</v>
      </c>
      <c r="I259">
        <v>1</v>
      </c>
      <c r="J259" t="s">
        <v>24</v>
      </c>
      <c r="K259">
        <v>0</v>
      </c>
      <c r="L259" t="s">
        <v>24</v>
      </c>
      <c r="M259" t="s">
        <v>24</v>
      </c>
      <c r="N259" t="s">
        <v>1118</v>
      </c>
      <c r="O259" t="s">
        <v>1119</v>
      </c>
      <c r="P259" t="s">
        <v>24</v>
      </c>
      <c r="Q259" t="s">
        <v>24</v>
      </c>
    </row>
    <row r="260" spans="1:17" x14ac:dyDescent="0.25">
      <c r="A260">
        <v>467</v>
      </c>
      <c r="B260" t="s">
        <v>1120</v>
      </c>
      <c r="C260" t="s">
        <v>24</v>
      </c>
      <c r="D260" t="s">
        <v>1121</v>
      </c>
      <c r="E260" t="s">
        <v>20</v>
      </c>
      <c r="F260">
        <v>1</v>
      </c>
      <c r="G260">
        <v>0</v>
      </c>
      <c r="H260" t="s">
        <v>884</v>
      </c>
      <c r="I260">
        <v>0</v>
      </c>
      <c r="J260" t="s">
        <v>885</v>
      </c>
      <c r="K260">
        <v>0</v>
      </c>
      <c r="L260" t="s">
        <v>24</v>
      </c>
      <c r="M260" t="s">
        <v>24</v>
      </c>
      <c r="N260" t="s">
        <v>1122</v>
      </c>
      <c r="O260" t="s">
        <v>1123</v>
      </c>
      <c r="P260" t="s">
        <v>24</v>
      </c>
      <c r="Q260" t="s">
        <v>24</v>
      </c>
    </row>
    <row r="261" spans="1:17" x14ac:dyDescent="0.25">
      <c r="A261">
        <v>468</v>
      </c>
      <c r="B261" t="s">
        <v>1124</v>
      </c>
      <c r="C261" t="s">
        <v>1125</v>
      </c>
      <c r="D261" t="s">
        <v>1126</v>
      </c>
      <c r="F261">
        <v>1</v>
      </c>
      <c r="G261">
        <v>0</v>
      </c>
      <c r="I261">
        <v>0</v>
      </c>
      <c r="J261" t="s">
        <v>1127</v>
      </c>
      <c r="K261">
        <v>0</v>
      </c>
      <c r="L261" t="s">
        <v>24</v>
      </c>
      <c r="M261" t="s">
        <v>24</v>
      </c>
      <c r="N261" t="s">
        <v>1128</v>
      </c>
      <c r="O261" t="s">
        <v>1129</v>
      </c>
      <c r="P261" t="s">
        <v>24</v>
      </c>
      <c r="Q261"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61"/>
  <sheetViews>
    <sheetView tabSelected="1" workbookViewId="0">
      <selection activeCell="K9" sqref="K9"/>
    </sheetView>
  </sheetViews>
  <sheetFormatPr defaultRowHeight="15" x14ac:dyDescent="0.25"/>
  <cols>
    <col min="7" max="7" width="23.85546875" customWidth="1"/>
    <col min="8" max="8" width="28.42578125" customWidth="1"/>
    <col min="9" max="9" width="33" customWidth="1"/>
  </cols>
  <sheetData>
    <row r="1" spans="1:9" s="2" customFormat="1" ht="30" x14ac:dyDescent="0.25">
      <c r="A1" s="1" t="s">
        <v>1130</v>
      </c>
      <c r="B1" s="2" t="s">
        <v>1131</v>
      </c>
      <c r="C1" s="2" t="s">
        <v>1132</v>
      </c>
      <c r="D1" s="2" t="s">
        <v>1133</v>
      </c>
      <c r="E1" s="3" t="s">
        <v>1134</v>
      </c>
      <c r="F1" s="3" t="s">
        <v>1135</v>
      </c>
      <c r="G1" s="4" t="s">
        <v>1136</v>
      </c>
      <c r="H1" s="2" t="s">
        <v>1137</v>
      </c>
      <c r="I1" s="2" t="s">
        <v>1198</v>
      </c>
    </row>
    <row r="2" spans="1:9" x14ac:dyDescent="0.25">
      <c r="A2">
        <v>1</v>
      </c>
      <c r="B2" t="str">
        <f>orig_e_resources_table!B2</f>
        <v>AAPT</v>
      </c>
      <c r="C2" t="str">
        <f>IF(orig_e_resources_table!C2="","",orig_e_resources_table!C2)</f>
        <v>American Association of Physics Teachers</v>
      </c>
      <c r="D2" t="str">
        <f>orig_e_resources_table!D2</f>
        <v>http://ojps.aip.org/vsearch/servlet/VerityServlet?KEY=ALL</v>
      </c>
      <c r="E2" t="str">
        <f>LOWER(IF(orig_e_resources_table!F2=1,TRUE,FALSE))</f>
        <v>true</v>
      </c>
      <c r="F2" t="str">
        <f>LOWER(IF(orig_e_resources_table!I2=1,TRUE,FALSE))</f>
        <v>true</v>
      </c>
      <c r="G2" t="str">
        <f>SUBSTITUTE(SUBSTITUTE(orig_e_resources_table!O2,CHAR(13),""),CHAR(10),"")</f>
        <v>Access journals published by the American Association of Physics Teachers in the field of physics.</v>
      </c>
      <c r="I2" t="str">
        <f>IF(E2="true","xxx","")</f>
        <v>xxx</v>
      </c>
    </row>
    <row r="3" spans="1:9" x14ac:dyDescent="0.25">
      <c r="A3">
        <v>2</v>
      </c>
      <c r="B3" t="str">
        <f>orig_e_resources_table!B3</f>
        <v>Academic Search Premier</v>
      </c>
      <c r="C3" t="str">
        <f>IF(orig_e_resources_table!C3="","",orig_e_resources_table!C3)</f>
        <v/>
      </c>
      <c r="D3" t="str">
        <f>orig_e_resources_table!D3</f>
        <v>http://search.EBSCOhost.com/login.asp?profile=web&amp;defaultdb=aph</v>
      </c>
      <c r="E3" t="str">
        <f>LOWER(IF(orig_e_resources_table!F3=1,TRUE,FALSE))</f>
        <v>true</v>
      </c>
      <c r="F3" t="str">
        <f>LOWER(IF(orig_e_resources_table!I3=1,TRUE,FALSE))</f>
        <v>true</v>
      </c>
      <c r="G3" t="str">
        <f>SUBSTITUTE(SUBSTITUTE(orig_e_resources_table!O3,CHAR(13),""),CHAR(10),"")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c r="I3" t="str">
        <f t="shared" ref="I3:I66" si="0">IF(E3="true","xxx","")</f>
        <v>xxx</v>
      </c>
    </row>
    <row r="4" spans="1:9" x14ac:dyDescent="0.25">
      <c r="A4">
        <v>3</v>
      </c>
      <c r="B4" t="str">
        <f>orig_e_resources_table!B4</f>
        <v>ACM Digital Library</v>
      </c>
      <c r="C4" t="str">
        <f>IF(orig_e_resources_table!C4="","",orig_e_resources_table!C4)</f>
        <v>Association for Computing Machinery</v>
      </c>
      <c r="D4" t="str">
        <f>orig_e_resources_table!D4</f>
        <v>http://portal.acm.org/dl.cfm</v>
      </c>
      <c r="E4" t="str">
        <f>LOWER(IF(orig_e_resources_table!F4=1,TRUE,FALSE))</f>
        <v>true</v>
      </c>
      <c r="F4" t="str">
        <f>LOWER(IF(orig_e_resources_table!I4=1,TRUE,FALSE))</f>
        <v>true</v>
      </c>
      <c r="G4" t="str">
        <f>SUBSTITUTE(SUBSTITUTE(orig_e_resources_table!O4,CHAR(13),""),CHAR(10),"")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c r="I4" t="str">
        <f t="shared" si="0"/>
        <v>xxx</v>
      </c>
    </row>
    <row r="5" spans="1:9" x14ac:dyDescent="0.25">
      <c r="A5">
        <v>4</v>
      </c>
      <c r="B5" t="str">
        <f>orig_e_resources_table!B5</f>
        <v>Acronym Finder</v>
      </c>
      <c r="C5" t="str">
        <f>IF(orig_e_resources_table!C5="","",orig_e_resources_table!C5)</f>
        <v/>
      </c>
      <c r="D5" t="str">
        <f>orig_e_resources_table!D5</f>
        <v>http://www.acronymfinder.com/</v>
      </c>
      <c r="E5" t="str">
        <f>LOWER(IF(orig_e_resources_table!F5=1,TRUE,FALSE))</f>
        <v>true</v>
      </c>
      <c r="F5" t="str">
        <f>LOWER(IF(orig_e_resources_table!I5=1,TRUE,FALSE))</f>
        <v>false</v>
      </c>
      <c r="G5" t="str">
        <f>SUBSTITUTE(SUBSTITUTE(orig_e_resources_table!O5,CHAR(13),""),CHAR(10),"")</f>
        <v>With more than 600,000 human-edited definitions, Acronym Finder is the world's largest and most comprehensive dictionary of acronyms, abbreviations, and initialisms.</v>
      </c>
      <c r="I5" t="str">
        <f t="shared" si="0"/>
        <v>xxx</v>
      </c>
    </row>
    <row r="6" spans="1:9" x14ac:dyDescent="0.25">
      <c r="A6">
        <v>5</v>
      </c>
      <c r="B6" t="str">
        <f>orig_e_resources_table!B6</f>
        <v>ACS</v>
      </c>
      <c r="C6" t="str">
        <f>IF(orig_e_resources_table!C6="","",orig_e_resources_table!C6)</f>
        <v>American Chemical Society</v>
      </c>
      <c r="D6" t="str">
        <f>orig_e_resources_table!D6</f>
        <v>http://pubs.acs.org/wls/journals/query/subscriberSearch.html</v>
      </c>
      <c r="E6" t="str">
        <f>LOWER(IF(orig_e_resources_table!F6=1,TRUE,FALSE))</f>
        <v>true</v>
      </c>
      <c r="F6" t="str">
        <f>LOWER(IF(orig_e_resources_table!I6=1,TRUE,FALSE))</f>
        <v>true</v>
      </c>
      <c r="G6" t="str">
        <f>SUBSTITUTE(SUBSTITUTE(orig_e_resources_table!O6,CHAR(13),""),CHAR(10),"")</f>
        <v xml:space="preserve">Online repository of peer-reviewed research journals published by the American Chemical Society, covering all aspects of chemistry and chemical sciences. </v>
      </c>
      <c r="I6" t="str">
        <f t="shared" si="0"/>
        <v>xxx</v>
      </c>
    </row>
    <row r="7" spans="1:9" x14ac:dyDescent="0.25">
      <c r="A7">
        <v>6</v>
      </c>
      <c r="B7" t="str">
        <f>orig_e_resources_table!B7</f>
        <v>ADAMS</v>
      </c>
      <c r="C7" t="str">
        <f>IF(orig_e_resources_table!C7="","",orig_e_resources_table!C7)</f>
        <v>Agencywide Documents Access and Management System</v>
      </c>
      <c r="D7" t="str">
        <f>orig_e_resources_table!D7</f>
        <v>http://www.nrc.gov/reading-rm/adams/web-based.html</v>
      </c>
      <c r="E7" t="str">
        <f>LOWER(IF(orig_e_resources_table!F7=1,TRUE,FALSE))</f>
        <v>true</v>
      </c>
      <c r="F7" t="str">
        <f>LOWER(IF(orig_e_resources_table!I7=1,TRUE,FALSE))</f>
        <v>false</v>
      </c>
      <c r="G7" t="str">
        <f>SUBSTITUTE(SUBSTITUTE(orig_e_resources_table!O7,CHAR(13),""),CHAR(10),"")</f>
        <v>Reports and documents from the U.S. Nuclear Regulatory Commission (NRC). ADAMS documents are provided in either Adobe Portable Document Format (PDF) or Tagged Image File Format (TIFF).</v>
      </c>
      <c r="I7" t="str">
        <f t="shared" si="0"/>
        <v>xxx</v>
      </c>
    </row>
    <row r="8" spans="1:9" x14ac:dyDescent="0.25">
      <c r="A8">
        <v>7</v>
      </c>
      <c r="B8" t="str">
        <f>orig_e_resources_table!B8</f>
        <v>Advanced Polymers Abstracts</v>
      </c>
      <c r="C8" t="str">
        <f>IF(orig_e_resources_table!C8="","",orig_e_resources_table!C8)</f>
        <v/>
      </c>
      <c r="D8" t="str">
        <f>orig_e_resources_table!D8</f>
        <v>http://www.csa.com/htbin/dbrng.cgi?username=paulg&amp;access=paulg20&amp;db=ema-polymers-set-c</v>
      </c>
      <c r="E8" t="str">
        <f>LOWER(IF(orig_e_resources_table!F8=1,TRUE,FALSE))</f>
        <v>false</v>
      </c>
      <c r="F8" t="str">
        <f>LOWER(IF(orig_e_resources_table!I8=1,TRUE,FALSE))</f>
        <v>true</v>
      </c>
      <c r="G8" t="str">
        <f>SUBSTITUTE(SUBSTITUTE(orig_e_resources_table!O8,CHAR(13),""),CHAR(10),"")</f>
        <v>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8" t="str">
        <f t="shared" si="0"/>
        <v/>
      </c>
    </row>
    <row r="9" spans="1:9" x14ac:dyDescent="0.25">
      <c r="A9">
        <v>8</v>
      </c>
      <c r="B9" t="str">
        <f>orig_e_resources_table!B9</f>
        <v>Aerospace &amp;amp; High Technology Database</v>
      </c>
      <c r="C9" t="str">
        <f>IF(orig_e_resources_table!C9="","",orig_e_resources_table!C9)</f>
        <v/>
      </c>
      <c r="D9" t="str">
        <f>orig_e_resources_table!D9</f>
        <v>http://www.csa.com/htbin/dbrng.cgi?username=paulg&amp;access=paulg20&amp;db=aerospace-set-c</v>
      </c>
      <c r="E9" t="str">
        <f>LOWER(IF(orig_e_resources_table!F9=1,TRUE,FALSE))</f>
        <v>false</v>
      </c>
      <c r="F9" t="str">
        <f>LOWER(IF(orig_e_resources_table!I9=1,TRUE,FALSE))</f>
        <v>true</v>
      </c>
      <c r="G9" t="str">
        <f>SUBSTITUTE(SUBSTITUTE(orig_e_resources_table!O9,CHAR(13),""),CHAR(10),"")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c r="I9" t="str">
        <f t="shared" si="0"/>
        <v/>
      </c>
    </row>
    <row r="10" spans="1:9" x14ac:dyDescent="0.25">
      <c r="A10">
        <v>9</v>
      </c>
      <c r="B10" t="str">
        <f>orig_e_resources_table!B10</f>
        <v>AISC freePubs</v>
      </c>
      <c r="C10" t="str">
        <f>IF(orig_e_resources_table!C10="","",orig_e_resources_table!C10)</f>
        <v>American Institute of Steel Construction</v>
      </c>
      <c r="D10" t="str">
        <f>orig_e_resources_table!D10</f>
        <v>http://www.aisc.org/content.aspx?id=2882</v>
      </c>
      <c r="E10" t="str">
        <f>LOWER(IF(orig_e_resources_table!F10=1,TRUE,FALSE))</f>
        <v>true</v>
      </c>
      <c r="F10" t="str">
        <f>LOWER(IF(orig_e_resources_table!I10=1,TRUE,FALSE))</f>
        <v>false</v>
      </c>
      <c r="G10" t="str">
        <f>SUBSTITUTE(SUBSTITUTE(orig_e_resources_table!O10,CHAR(13),""),CHAR(10),"")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v>
      </c>
      <c r="I10" t="str">
        <f t="shared" si="0"/>
        <v>xxx</v>
      </c>
    </row>
    <row r="11" spans="1:9" x14ac:dyDescent="0.25">
      <c r="A11">
        <v>10</v>
      </c>
      <c r="B11" t="str">
        <f>orig_e_resources_table!B11</f>
        <v>Algology Mycology and Protozoology Abstracts (Microbiology C)</v>
      </c>
      <c r="C11" t="str">
        <f>IF(orig_e_resources_table!C11="","",orig_e_resources_table!C11)</f>
        <v/>
      </c>
      <c r="D11" t="str">
        <f>orig_e_resources_table!D11</f>
        <v>http://www.csa.com/htbin/dbrng.cgi?username=paulg&amp;access=paulg20&amp;db=http://www.csa.com/htbin/dbrng.cgi?username=paulg&amp;access=paulg20&amp;db=microbiology-c-set-c</v>
      </c>
      <c r="E11" t="str">
        <f>LOWER(IF(orig_e_resources_table!F11=1,TRUE,FALSE))</f>
        <v>false</v>
      </c>
      <c r="F11" t="str">
        <f>LOWER(IF(orig_e_resources_table!I11=1,TRUE,FALSE))</f>
        <v>true</v>
      </c>
      <c r="G11" t="str">
        <f>SUBSTITUTE(SUBSTITUTE(orig_e_resources_table!O11,CHAR(13),""),CHAR(10),"")</f>
        <v>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v>
      </c>
      <c r="I11" t="str">
        <f t="shared" si="0"/>
        <v/>
      </c>
    </row>
    <row r="12" spans="1:9" x14ac:dyDescent="0.25">
      <c r="A12">
        <v>11</v>
      </c>
      <c r="B12" t="str">
        <f>orig_e_resources_table!B12</f>
        <v>Aluminium Industry Abstracts</v>
      </c>
      <c r="C12" t="str">
        <f>IF(orig_e_resources_table!C12="","",orig_e_resources_table!C12)</f>
        <v/>
      </c>
      <c r="D12" t="str">
        <f>orig_e_resources_table!D12</f>
        <v>http://www.csa.com/htbin/dbrng.cgi?username=paulg&amp;access=paulg20&amp;db=aia-set-c</v>
      </c>
      <c r="E12" t="str">
        <f>LOWER(IF(orig_e_resources_table!F12=1,TRUE,FALSE))</f>
        <v>false</v>
      </c>
      <c r="F12" t="str">
        <f>LOWER(IF(orig_e_resources_table!I12=1,TRUE,FALSE))</f>
        <v>true</v>
      </c>
      <c r="G12" t="str">
        <f>SUBSTITUTE(SUBSTITUTE(orig_e_resources_table!O12,CHAR(13),""),CHAR(10),"")</f>
        <v>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v>
      </c>
      <c r="I12" t="str">
        <f t="shared" si="0"/>
        <v/>
      </c>
    </row>
    <row r="13" spans="1:9" x14ac:dyDescent="0.25">
      <c r="A13">
        <v>12</v>
      </c>
      <c r="B13" t="str">
        <f>orig_e_resources_table!B13</f>
        <v>American Institute of Physics</v>
      </c>
      <c r="C13" t="str">
        <f>IF(orig_e_resources_table!C13="","",orig_e_resources_table!C13)</f>
        <v/>
      </c>
      <c r="D13" t="str">
        <f>orig_e_resources_table!D13</f>
        <v>http://ojps.aip.org/vsearch/servlet/VerityServlet?KEY=ALL</v>
      </c>
      <c r="E13" t="str">
        <f>LOWER(IF(orig_e_resources_table!F13=1,TRUE,FALSE))</f>
        <v>true</v>
      </c>
      <c r="F13" t="str">
        <f>LOWER(IF(orig_e_resources_table!I13=1,TRUE,FALSE))</f>
        <v>true</v>
      </c>
      <c r="G13" t="str">
        <f>SUBSTITUTE(SUBSTITUTE(orig_e_resources_table!O13,CHAR(13),""),CHAR(10),"")</f>
        <v>Journals published by the American Institute of Physics. A pioneer in digital publishing, AIP is also one of the world's largest publishers of physics journals and produces the publications of more than 25 scientific and engineering societies.</v>
      </c>
      <c r="I13" t="str">
        <f t="shared" si="0"/>
        <v>xxx</v>
      </c>
    </row>
    <row r="14" spans="1:9" x14ac:dyDescent="0.25">
      <c r="A14">
        <v>13</v>
      </c>
      <c r="B14" t="str">
        <f>orig_e_resources_table!B14</f>
        <v>American Physical Society</v>
      </c>
      <c r="C14" t="str">
        <f>IF(orig_e_resources_table!C14="","",orig_e_resources_table!C14)</f>
        <v/>
      </c>
      <c r="D14" t="str">
        <f>orig_e_resources_table!D14</f>
        <v>http://publish.aps.org/</v>
      </c>
      <c r="E14" t="str">
        <f>LOWER(IF(orig_e_resources_table!F14=1,TRUE,FALSE))</f>
        <v>true</v>
      </c>
      <c r="F14" t="str">
        <f>LOWER(IF(orig_e_resources_table!I14=1,TRUE,FALSE))</f>
        <v>true</v>
      </c>
      <c r="G14" t="str">
        <f>SUBSTITUTE(SUBSTITUTE(orig_e_resources_table!O14,CHAR(13),""),CHAR(10),"")</f>
        <v>Journals published by the American Physical Society, including Physical Review and Physical Review Letters.</v>
      </c>
      <c r="I14" t="str">
        <f t="shared" si="0"/>
        <v>xxx</v>
      </c>
    </row>
    <row r="15" spans="1:9" x14ac:dyDescent="0.25">
      <c r="A15">
        <v>14</v>
      </c>
      <c r="B15" t="str">
        <f>orig_e_resources_table!B15</f>
        <v>Animal Behavior Abstracts</v>
      </c>
      <c r="C15" t="str">
        <f>IF(orig_e_resources_table!C15="","",orig_e_resources_table!C15)</f>
        <v/>
      </c>
      <c r="D15" t="str">
        <f>orig_e_resources_table!D15</f>
        <v>http://www.csa.com/htbin/dbrng.cgi?username=paulg&amp;access=paulg20&amp;db=animal-behavior-set-c</v>
      </c>
      <c r="E15" t="str">
        <f>LOWER(IF(orig_e_resources_table!F15=1,TRUE,FALSE))</f>
        <v>false</v>
      </c>
      <c r="F15" t="str">
        <f>LOWER(IF(orig_e_resources_table!I15=1,TRUE,FALSE))</f>
        <v>true</v>
      </c>
      <c r="G15" t="str">
        <f>SUBSTITUTE(SUBSTITUTE(orig_e_resources_table!O15,CHAR(13),""),CHAR(10),"")</f>
        <v>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v>
      </c>
      <c r="I15" t="str">
        <f t="shared" si="0"/>
        <v/>
      </c>
    </row>
    <row r="16" spans="1:9" x14ac:dyDescent="0.25">
      <c r="A16">
        <v>15</v>
      </c>
      <c r="B16" t="str">
        <f>orig_e_resources_table!B16</f>
        <v>ANTE</v>
      </c>
      <c r="C16" t="str">
        <f>IF(orig_e_resources_table!C16="","",orig_e_resources_table!C16)</f>
        <v>Abstracts in New Technologies and Engineering</v>
      </c>
      <c r="D16" t="str">
        <f>orig_e_resources_table!D16</f>
        <v>http://www.csa.com/htbin/dbrng.cgi?username=paulg&amp;access=paulg20&amp;db=ante-set-c</v>
      </c>
      <c r="E16" t="str">
        <f>LOWER(IF(orig_e_resources_table!F16=1,TRUE,FALSE))</f>
        <v>false</v>
      </c>
      <c r="F16" t="str">
        <f>LOWER(IF(orig_e_resources_table!I16=1,TRUE,FALSE))</f>
        <v>true</v>
      </c>
      <c r="G16" t="str">
        <f>SUBSTITUTE(SUBSTITUTE(orig_e_resources_table!O16,CHAR(13),""),CHAR(10),"")</f>
        <v>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v>
      </c>
      <c r="I16" t="str">
        <f t="shared" si="0"/>
        <v/>
      </c>
    </row>
    <row r="17" spans="1:9" x14ac:dyDescent="0.25">
      <c r="A17">
        <v>16</v>
      </c>
      <c r="B17" t="str">
        <f>orig_e_resources_table!B17</f>
        <v>Article First</v>
      </c>
      <c r="C17" t="str">
        <f>IF(orig_e_resources_table!C17="","",orig_e_resources_table!C17)</f>
        <v/>
      </c>
      <c r="D17" t="str">
        <f>orig_e_resources_table!D17</f>
        <v>http://newfirstsearch.oclc.org/dbname=ArticleFirst;FSIP</v>
      </c>
      <c r="E17" t="str">
        <f>LOWER(IF(orig_e_resources_table!F17=1,TRUE,FALSE))</f>
        <v>true</v>
      </c>
      <c r="F17" t="str">
        <f>LOWER(IF(orig_e_resources_table!I17=1,TRUE,FALSE))</f>
        <v>true</v>
      </c>
      <c r="G17" t="str">
        <f>SUBSTITUTE(SUBSTITUTE(orig_e_resources_table!O17,CHAR(13),""),CHAR(10),"")</f>
        <v>Coverage of over 16,000 journal titles related to business, science, humanities, social sciences, medicine, technology, and popular culture.</v>
      </c>
      <c r="I17" t="str">
        <f t="shared" si="0"/>
        <v>xxx</v>
      </c>
    </row>
    <row r="18" spans="1:9" x14ac:dyDescent="0.25">
      <c r="A18">
        <v>17</v>
      </c>
      <c r="B18" t="str">
        <f>orig_e_resources_table!B18</f>
        <v>arXiv.org</v>
      </c>
      <c r="C18" t="str">
        <f>IF(orig_e_resources_table!C18="","",orig_e_resources_table!C18)</f>
        <v/>
      </c>
      <c r="D18" t="str">
        <f>orig_e_resources_table!D18</f>
        <v>http://arxiv.org/</v>
      </c>
      <c r="E18" t="str">
        <f>LOWER(IF(orig_e_resources_table!F18=1,TRUE,FALSE))</f>
        <v>true</v>
      </c>
      <c r="F18" t="str">
        <f>LOWER(IF(orig_e_resources_table!I18=1,TRUE,FALSE))</f>
        <v>false</v>
      </c>
      <c r="G18" t="str">
        <f>SUBSTITUTE(SUBSTITUTE(orig_e_resources_table!O18,CHAR(13),""),CHAR(10),"")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c r="I18" t="str">
        <f t="shared" si="0"/>
        <v>xxx</v>
      </c>
    </row>
    <row r="19" spans="1:9" x14ac:dyDescent="0.25">
      <c r="A19">
        <v>18</v>
      </c>
      <c r="B19" t="str">
        <f>orig_e_resources_table!B19</f>
        <v>ASCE Database</v>
      </c>
      <c r="C19" t="str">
        <f>IF(orig_e_resources_table!C19="","",orig_e_resources_table!C19)</f>
        <v>American Society of Civil Engineers</v>
      </c>
      <c r="D19" t="str">
        <f>orig_e_resources_table!D19</f>
        <v>http://ascelibrary.org</v>
      </c>
      <c r="E19" t="str">
        <f>LOWER(IF(orig_e_resources_table!F19=1,TRUE,FALSE))</f>
        <v>true</v>
      </c>
      <c r="F19" t="str">
        <f>LOWER(IF(orig_e_resources_table!I19=1,TRUE,FALSE))</f>
        <v>true</v>
      </c>
      <c r="G19" t="str">
        <f>SUBSTITUTE(SUBSTITUTE(orig_e_resources_table!O19,CHAR(13),""),CHAR(10),"")</f>
        <v>Search for journal articles published by the ASCE from 1990 through the present.</v>
      </c>
      <c r="I19" t="str">
        <f t="shared" si="0"/>
        <v>xxx</v>
      </c>
    </row>
    <row r="20" spans="1:9" x14ac:dyDescent="0.25">
      <c r="A20">
        <v>19</v>
      </c>
      <c r="B20" t="str">
        <f>orig_e_resources_table!B20</f>
        <v>ASFA 1: Biological Sciences and Living Resources</v>
      </c>
      <c r="C20" t="str">
        <f>IF(orig_e_resources_table!C20="","",orig_e_resources_table!C20)</f>
        <v/>
      </c>
      <c r="D20" t="str">
        <f>orig_e_resources_table!D20</f>
        <v>http://www.csa.com/htbin/dbrng.cgi?username=paulg&amp;access=paulg20&amp;db=asfa1-set-c</v>
      </c>
      <c r="E20" t="str">
        <f>LOWER(IF(orig_e_resources_table!F20=1,TRUE,FALSE))</f>
        <v>false</v>
      </c>
      <c r="F20" t="str">
        <f>LOWER(IF(orig_e_resources_table!I20=1,TRUE,FALSE))</f>
        <v>true</v>
      </c>
      <c r="G20" t="str">
        <f>SUBSTITUTE(SUBSTITUTE(orig_e_resources_table!O20,CHAR(13),""),CHAR(10),"")</f>
        <v>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v>
      </c>
      <c r="I20" t="str">
        <f t="shared" si="0"/>
        <v/>
      </c>
    </row>
    <row r="21" spans="1:9" x14ac:dyDescent="0.25">
      <c r="A21">
        <v>20</v>
      </c>
      <c r="B21" t="str">
        <f>orig_e_resources_table!B21</f>
        <v>ASFA 3: Aquatic Pollution and Environmental Quality</v>
      </c>
      <c r="C21" t="str">
        <f>IF(orig_e_resources_table!C21="","",orig_e_resources_table!C21)</f>
        <v/>
      </c>
      <c r="D21" t="str">
        <f>orig_e_resources_table!D21</f>
        <v>http://www.csa.com/htbin/dbrng.cgi?username=paulg&amp;access=paulg20&amp;db=asfa3-set-c</v>
      </c>
      <c r="E21" t="str">
        <f>LOWER(IF(orig_e_resources_table!F21=1,TRUE,FALSE))</f>
        <v>false</v>
      </c>
      <c r="F21" t="str">
        <f>LOWER(IF(orig_e_resources_table!I21=1,TRUE,FALSE))</f>
        <v>true</v>
      </c>
      <c r="G21" t="str">
        <f>SUBSTITUTE(SUBSTITUTE(orig_e_resources_table!O21,CHAR(13),""),CHAR(10),"")</f>
        <v>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v>
      </c>
      <c r="I21" t="str">
        <f t="shared" si="0"/>
        <v/>
      </c>
    </row>
    <row r="22" spans="1:9" x14ac:dyDescent="0.25">
      <c r="A22">
        <v>21</v>
      </c>
      <c r="B22" t="str">
        <f>orig_e_resources_table!B22</f>
        <v>ASFA Aquaculture Abstracts</v>
      </c>
      <c r="C22" t="str">
        <f>IF(orig_e_resources_table!C22="","",orig_e_resources_table!C22)</f>
        <v/>
      </c>
      <c r="D22" t="str">
        <f>orig_e_resources_table!D22</f>
        <v>http://www.csa.com/htbin/dbrng.cgi?username=paulg&amp;access=paulg20&amp;db=aquaculture-set-c</v>
      </c>
      <c r="E22" t="str">
        <f>LOWER(IF(orig_e_resources_table!F22=1,TRUE,FALSE))</f>
        <v>false</v>
      </c>
      <c r="F22" t="str">
        <f>LOWER(IF(orig_e_resources_table!I22=1,TRUE,FALSE))</f>
        <v>true</v>
      </c>
      <c r="G22" t="str">
        <f>SUBSTITUTE(SUBSTITUTE(orig_e_resources_table!O22,CHAR(13),""),CHAR(10),"")</f>
        <v>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v>
      </c>
      <c r="I22" t="str">
        <f t="shared" si="0"/>
        <v/>
      </c>
    </row>
    <row r="23" spans="1:9" x14ac:dyDescent="0.25">
      <c r="A23">
        <v>22</v>
      </c>
      <c r="B23" t="str">
        <f>orig_e_resources_table!B23</f>
        <v>ASFA Marine Biotechnology Abstracts</v>
      </c>
      <c r="C23" t="str">
        <f>IF(orig_e_resources_table!C23="","",orig_e_resources_table!C23)</f>
        <v/>
      </c>
      <c r="D23" t="str">
        <f>orig_e_resources_table!D23</f>
        <v>http://www.csa.com/htbin/dbrng.cgi?username=paulg&amp;access=paulg20&amp;db=marine-set-c</v>
      </c>
      <c r="E23" t="str">
        <f>LOWER(IF(orig_e_resources_table!F23=1,TRUE,FALSE))</f>
        <v>false</v>
      </c>
      <c r="F23" t="str">
        <f>LOWER(IF(orig_e_resources_table!I23=1,TRUE,FALSE))</f>
        <v>true</v>
      </c>
      <c r="G23" t="str">
        <f>SUBSTITUTE(SUBSTITUTE(orig_e_resources_table!O23,CHAR(13),""),CHAR(10),"")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c r="I23" t="str">
        <f t="shared" si="0"/>
        <v/>
      </c>
    </row>
    <row r="24" spans="1:9" x14ac:dyDescent="0.25">
      <c r="A24">
        <v>23</v>
      </c>
      <c r="B24" t="str">
        <f>orig_e_resources_table!B24</f>
        <v>ASM Materials Information - Handbooks</v>
      </c>
      <c r="C24" t="str">
        <f>IF(orig_e_resources_table!C24="","",orig_e_resources_table!C24)</f>
        <v/>
      </c>
      <c r="D24" t="str">
        <f>orig_e_resources_table!D24</f>
        <v>http://products.asminternational.org/hbk/index.jsp</v>
      </c>
      <c r="E24" t="str">
        <f>LOWER(IF(orig_e_resources_table!F24=1,TRUE,FALSE))</f>
        <v>false</v>
      </c>
      <c r="F24" t="str">
        <f>LOWER(IF(orig_e_resources_table!I24=1,TRUE,FALSE))</f>
        <v>true</v>
      </c>
      <c r="G24" t="str">
        <f>SUBSTITUTE(SUBSTITUTE(orig_e_resources_table!O24,CHAR(13),""),CHAR(10),"")</f>
        <v>The online edition of the ASM Handbook, 10th edition (aka Metals Handbook). This 21 volume reference collection covers the spectrum of ferrous and non-ferrous alloys, from general properties to testing, evaluation, and manufacturing techniques.</v>
      </c>
      <c r="I24" t="str">
        <f t="shared" si="0"/>
        <v/>
      </c>
    </row>
    <row r="25" spans="1:9" x14ac:dyDescent="0.25">
      <c r="A25">
        <v>24</v>
      </c>
      <c r="B25" t="str">
        <f>orig_e_resources_table!B25</f>
        <v>ASM Materials Information - Alloy Center</v>
      </c>
      <c r="C25" t="str">
        <f>IF(orig_e_resources_table!C25="","",orig_e_resources_table!C25)</f>
        <v/>
      </c>
      <c r="D25" t="str">
        <f>orig_e_resources_table!D25</f>
        <v>http://products.asminternational.org/alloycenter/index.jsp</v>
      </c>
      <c r="E25" t="str">
        <f>LOWER(IF(orig_e_resources_table!F25=1,TRUE,FALSE))</f>
        <v>false</v>
      </c>
      <c r="F25" t="str">
        <f>LOWER(IF(orig_e_resources_table!I25=1,TRUE,FALSE))</f>
        <v>true</v>
      </c>
      <c r="G25" t="str">
        <f>SUBSTITUTE(SUBSTITUTE(orig_e_resources_table!O25,CHAR(13),""),CHAR(10),"")</f>
        <v>The ASM Alloy Center enables you to search in one easy step across ASM property data, performance charts, diagrams, and processing guidelines for specific metals and alloys.</v>
      </c>
      <c r="I25" t="str">
        <f t="shared" si="0"/>
        <v/>
      </c>
    </row>
    <row r="26" spans="1:9" x14ac:dyDescent="0.25">
      <c r="A26">
        <v>25</v>
      </c>
      <c r="B26" t="str">
        <f>orig_e_resources_table!B26</f>
        <v>ASME</v>
      </c>
      <c r="C26" t="str">
        <f>IF(orig_e_resources_table!C26="","",orig_e_resources_table!C26)</f>
        <v>American Society of Mechanical Engineers</v>
      </c>
      <c r="D26" t="str">
        <f>orig_e_resources_table!D26</f>
        <v>http://asmedigitalcollection.asme.org/</v>
      </c>
      <c r="E26" t="str">
        <f>LOWER(IF(orig_e_resources_table!F26=1,TRUE,FALSE))</f>
        <v>true</v>
      </c>
      <c r="F26" t="str">
        <f>LOWER(IF(orig_e_resources_table!I26=1,TRUE,FALSE))</f>
        <v>true</v>
      </c>
      <c r="G26" t="str">
        <f>SUBSTITUTE(SUBSTITUTE(orig_e_resources_table!O26,CHAR(13),""),CHAR(10),"")</f>
        <v>Journals published by the American Society of Mechanical Engineers.</v>
      </c>
      <c r="I26" t="str">
        <f t="shared" si="0"/>
        <v>xxx</v>
      </c>
    </row>
    <row r="27" spans="1:9" x14ac:dyDescent="0.25">
      <c r="A27">
        <v>26</v>
      </c>
      <c r="B27" t="str">
        <f>orig_e_resources_table!B27</f>
        <v>Avery Index to Architectural Periodicals</v>
      </c>
      <c r="C27" t="str">
        <f>IF(orig_e_resources_table!C27="","",orig_e_resources_table!C27)</f>
        <v/>
      </c>
      <c r="D27" t="str">
        <f>orig_e_resources_table!D27</f>
        <v>http://search.proquest.com.ezproxy.gl.iit.edu/avery/advanced</v>
      </c>
      <c r="E27" t="str">
        <f>LOWER(IF(orig_e_resources_table!F27=1,TRUE,FALSE))</f>
        <v>true</v>
      </c>
      <c r="F27" t="str">
        <f>LOWER(IF(orig_e_resources_table!I27=1,TRUE,FALSE))</f>
        <v>true</v>
      </c>
      <c r="G27" t="str">
        <f>SUBSTITUTE(SUBSTITUTE(orig_e_resources_table!O27,CHAR(13),""),CHAR(10),"")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c r="I27" t="str">
        <f t="shared" si="0"/>
        <v>xxx</v>
      </c>
    </row>
    <row r="28" spans="1:9" x14ac:dyDescent="0.25">
      <c r="A28">
        <v>27</v>
      </c>
      <c r="B28" t="str">
        <f>orig_e_resources_table!B28</f>
        <v>Bacteriology Abstracts (Microbiology B)</v>
      </c>
      <c r="C28" t="str">
        <f>IF(orig_e_resources_table!C28="","",orig_e_resources_table!C28)</f>
        <v/>
      </c>
      <c r="D28" t="str">
        <f>orig_e_resources_table!D28</f>
        <v>http://www.csa.com/htbin/dbrng.cgi?username=paulg&amp;access=paulg20&amp;db=bacteriology-set-c</v>
      </c>
      <c r="E28" t="str">
        <f>LOWER(IF(orig_e_resources_table!F28=1,TRUE,FALSE))</f>
        <v>false</v>
      </c>
      <c r="F28" t="str">
        <f>LOWER(IF(orig_e_resources_table!I28=1,TRUE,FALSE))</f>
        <v>true</v>
      </c>
      <c r="G28" t="str">
        <f>SUBSTITUTE(SUBSTITUTE(orig_e_resources_table!O28,CHAR(13),""),CHAR(10),"")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c r="I28" t="str">
        <f t="shared" si="0"/>
        <v/>
      </c>
    </row>
    <row r="29" spans="1:9" x14ac:dyDescent="0.25">
      <c r="A29">
        <v>28</v>
      </c>
      <c r="B29" t="str">
        <f>orig_e_resources_table!B29</f>
        <v>Simmons Choices</v>
      </c>
      <c r="C29" t="str">
        <f>IF(orig_e_resources_table!C29="","",orig_e_resources_table!C29)</f>
        <v>NULL</v>
      </c>
      <c r="D29" t="str">
        <f>orig_e_resources_table!D29</f>
        <v>#</v>
      </c>
      <c r="E29" t="str">
        <f>LOWER(IF(orig_e_resources_table!F29=1,TRUE,FALSE))</f>
        <v>false</v>
      </c>
      <c r="F29" t="str">
        <f>LOWER(IF(orig_e_resources_table!I29=1,TRUE,FALSE))</f>
        <v>true</v>
      </c>
      <c r="G29" t="str">
        <f>SUBSTITUTE(SUBSTITUTE(orig_e_resources_table!O29,CHAR(13),""),CHAR(10),"")</f>
        <v>Choices is a powerful tool for market research that allows you to profile the demographics and psychographics of product users, as well as track their media consumption habits.</v>
      </c>
      <c r="I29" t="str">
        <f t="shared" si="0"/>
        <v/>
      </c>
    </row>
    <row r="30" spans="1:9" x14ac:dyDescent="0.25">
      <c r="A30">
        <v>29</v>
      </c>
      <c r="B30" t="str">
        <f>orig_e_resources_table!B30</f>
        <v>Biological Abstracts</v>
      </c>
      <c r="C30" t="str">
        <f>IF(orig_e_resources_table!C30="","",orig_e_resources_table!C30)</f>
        <v/>
      </c>
      <c r="D30" t="str">
        <f>orig_e_resources_table!D30</f>
        <v>http://apps.webofknowledge.com/BIOABS_GeneralSearch_input.do?product=BIOABS&amp;search_mode=GeneralSearch</v>
      </c>
      <c r="E30" t="str">
        <f>LOWER(IF(orig_e_resources_table!F30=1,TRUE,FALSE))</f>
        <v>true</v>
      </c>
      <c r="F30" t="str">
        <f>LOWER(IF(orig_e_resources_table!I30=1,TRUE,FALSE))</f>
        <v>true</v>
      </c>
      <c r="G30" t="str">
        <f>SUBSTITUTE(SUBSTITUTE(orig_e_resources_table!O30,CHAR(13),""),CHAR(10),"")</f>
        <v>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v>
      </c>
      <c r="I30" t="str">
        <f t="shared" si="0"/>
        <v>xxx</v>
      </c>
    </row>
    <row r="31" spans="1:9" x14ac:dyDescent="0.25">
      <c r="A31">
        <v>30</v>
      </c>
      <c r="B31" t="str">
        <f>orig_e_resources_table!B31</f>
        <v>Biological Sciences</v>
      </c>
      <c r="C31" t="str">
        <f>IF(orig_e_resources_table!C31="","",orig_e_resources_table!C31)</f>
        <v/>
      </c>
      <c r="D31" t="str">
        <f>orig_e_resources_table!D31</f>
        <v>http://www.csa.com/htbin/dbrng.cgi?username=paulg&amp;access=paulg20&amp;db=biolclust-set-c</v>
      </c>
      <c r="E31" t="str">
        <f>LOWER(IF(orig_e_resources_table!F31=1,TRUE,FALSE))</f>
        <v>true</v>
      </c>
      <c r="F31" t="str">
        <f>LOWER(IF(orig_e_resources_table!I31=1,TRUE,FALSE))</f>
        <v>true</v>
      </c>
      <c r="G31" t="str">
        <f>SUBSTITUTE(SUBSTITUTE(orig_e_resources_table!O31,CHAR(13),""),CHAR(10),"")</f>
        <v>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v>
      </c>
      <c r="I31" t="str">
        <f t="shared" si="0"/>
        <v>xxx</v>
      </c>
    </row>
    <row r="32" spans="1:9" x14ac:dyDescent="0.25">
      <c r="A32">
        <v>31</v>
      </c>
      <c r="B32" t="str">
        <f>orig_e_resources_table!B32</f>
        <v>Biology Digest</v>
      </c>
      <c r="C32" t="str">
        <f>IF(orig_e_resources_table!C32="","",orig_e_resources_table!C32)</f>
        <v/>
      </c>
      <c r="D32" t="str">
        <f>orig_e_resources_table!D32</f>
        <v>http://www.csa.com/htbin/dbrng.cgi?username=paulg&amp;access=paulg20&amp;db=biodig-set-c</v>
      </c>
      <c r="E32" t="str">
        <f>LOWER(IF(orig_e_resources_table!F32=1,TRUE,FALSE))</f>
        <v>false</v>
      </c>
      <c r="F32" t="str">
        <f>LOWER(IF(orig_e_resources_table!I32=1,TRUE,FALSE))</f>
        <v>true</v>
      </c>
      <c r="G32" t="str">
        <f>SUBSTITUTE(SUBSTITUTE(orig_e_resources_table!O32,CHAR(13),""),CHAR(10),"")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v>
      </c>
      <c r="I32" t="str">
        <f t="shared" si="0"/>
        <v/>
      </c>
    </row>
    <row r="33" spans="1:9" x14ac:dyDescent="0.25">
      <c r="A33">
        <v>32</v>
      </c>
      <c r="B33" t="str">
        <f>orig_e_resources_table!B33</f>
        <v>Biotechnology Research Abstracts</v>
      </c>
      <c r="C33" t="str">
        <f>IF(orig_e_resources_table!C33="","",orig_e_resources_table!C33)</f>
        <v/>
      </c>
      <c r="D33" t="str">
        <f>orig_e_resources_table!D33</f>
        <v>http://www.csa.com/htbin/dbrng.cgi?username=paulg&amp;access=paulg20&amp;db=biotechnology-archival-set-c</v>
      </c>
      <c r="E33" t="str">
        <f>LOWER(IF(orig_e_resources_table!F33=1,TRUE,FALSE))</f>
        <v>false</v>
      </c>
      <c r="F33" t="str">
        <f>LOWER(IF(orig_e_resources_table!I33=1,TRUE,FALSE))</f>
        <v>true</v>
      </c>
      <c r="G33" t="str">
        <f>SUBSTITUTE(SUBSTITUTE(orig_e_resources_table!O33,CHAR(13),""),CHAR(10),"")</f>
        <v>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v>
      </c>
      <c r="I33" t="str">
        <f t="shared" si="0"/>
        <v/>
      </c>
    </row>
    <row r="34" spans="1:9" x14ac:dyDescent="0.25">
      <c r="A34">
        <v>33</v>
      </c>
      <c r="B34" t="str">
        <f>orig_e_resources_table!B34</f>
        <v>Blackwell Synergy</v>
      </c>
      <c r="C34" t="str">
        <f>IF(orig_e_resources_table!C34="","",orig_e_resources_table!C34)</f>
        <v/>
      </c>
      <c r="D34" t="str">
        <f>orig_e_resources_table!D34</f>
        <v>http://www.blackwell-synergy.com</v>
      </c>
      <c r="E34" t="str">
        <f>LOWER(IF(orig_e_resources_table!F34=1,TRUE,FALSE))</f>
        <v>false</v>
      </c>
      <c r="F34" t="str">
        <f>LOWER(IF(orig_e_resources_table!I34=1,TRUE,FALSE))</f>
        <v>true</v>
      </c>
      <c r="G34" t="str">
        <f>SUBSTITUTE(SUBSTITUTE(orig_e_resources_table!O34,CHAR(13),""),CHAR(10),"")</f>
        <v>Journals published by Blackwell Synergy.</v>
      </c>
      <c r="I34" t="str">
        <f t="shared" si="0"/>
        <v/>
      </c>
    </row>
    <row r="35" spans="1:9" x14ac:dyDescent="0.25">
      <c r="A35">
        <v>34</v>
      </c>
      <c r="B35" t="str">
        <f>orig_e_resources_table!B35</f>
        <v>Books 24x7</v>
      </c>
      <c r="C35" t="str">
        <f>IF(orig_e_resources_table!C35="","",orig_e_resources_table!C35)</f>
        <v/>
      </c>
      <c r="D35" t="str">
        <f>orig_e_resources_table!D35</f>
        <v>http://library.books24x7.com/library.asp?^B</v>
      </c>
      <c r="E35" t="str">
        <f>LOWER(IF(orig_e_resources_table!F35=1,TRUE,FALSE))</f>
        <v>true</v>
      </c>
      <c r="F35" t="str">
        <f>LOWER(IF(orig_e_resources_table!I35=1,TRUE,FALSE))</f>
        <v>true</v>
      </c>
      <c r="G35" t="str">
        <f>SUBSTITUTE(SUBSTITUTE(orig_e_resources_table!O35,CHAR(13),""),CHAR(10),"")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c r="I35" t="str">
        <f t="shared" si="0"/>
        <v>xxx</v>
      </c>
    </row>
    <row r="36" spans="1:9" x14ac:dyDescent="0.25">
      <c r="A36">
        <v>35</v>
      </c>
      <c r="B36" t="str">
        <f>orig_e_resources_table!B36</f>
        <v>Business Insights</v>
      </c>
      <c r="C36" t="str">
        <f>IF(orig_e_resources_table!C36="","",orig_e_resources_table!C36)</f>
        <v/>
      </c>
      <c r="D36" t="str">
        <f>orig_e_resources_table!D36</f>
        <v>http://www.globalbusinessinsights.com/autologin.asp</v>
      </c>
      <c r="E36" t="str">
        <f>LOWER(IF(orig_e_resources_table!F36=1,TRUE,FALSE))</f>
        <v>false</v>
      </c>
      <c r="F36" t="str">
        <f>LOWER(IF(orig_e_resources_table!I36=1,TRUE,FALSE))</f>
        <v>true</v>
      </c>
      <c r="G36" t="str">
        <f>SUBSTITUTE(SUBSTITUTE(orig_e_resources_table!O36,CHAR(13),""),CHAR(10),"")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c r="I36" t="str">
        <f t="shared" si="0"/>
        <v/>
      </c>
    </row>
    <row r="37" spans="1:9" x14ac:dyDescent="0.25">
      <c r="A37">
        <v>36</v>
      </c>
      <c r="B37" t="str">
        <f>orig_e_resources_table!B37</f>
        <v>Business Source Premier</v>
      </c>
      <c r="C37" t="str">
        <f>IF(orig_e_resources_table!C37="","",orig_e_resources_table!C37)</f>
        <v/>
      </c>
      <c r="D37" t="str">
        <f>orig_e_resources_table!D37</f>
        <v>http://search.EBSCOhost.com/login.asp?profile=web&amp;defaultdb=buh</v>
      </c>
      <c r="E37" t="str">
        <f>LOWER(IF(orig_e_resources_table!F37=1,TRUE,FALSE))</f>
        <v>true</v>
      </c>
      <c r="F37" t="str">
        <f>LOWER(IF(orig_e_resources_table!I37=1,TRUE,FALSE))</f>
        <v>true</v>
      </c>
      <c r="G37" t="str">
        <f>SUBSTITUTE(SUBSTITUTE(orig_e_resources_table!O37,CHAR(13),""),CHAR(10),"")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c r="I37" t="str">
        <f t="shared" si="0"/>
        <v>xxx</v>
      </c>
    </row>
    <row r="38" spans="1:9" x14ac:dyDescent="0.25">
      <c r="A38">
        <v>37</v>
      </c>
      <c r="B38" t="str">
        <f>orig_e_resources_table!B38</f>
        <v>Calcium and Calcified Tissue Abstracts</v>
      </c>
      <c r="C38" t="str">
        <f>IF(orig_e_resources_table!C38="","",orig_e_resources_table!C38)</f>
        <v/>
      </c>
      <c r="D38" t="str">
        <f>orig_e_resources_table!D38</f>
        <v>http://www.csa.com/htbin/dbrng.cgi?username=paulg&amp;access=paulg20&amp;db=calcified-tissue-set-c</v>
      </c>
      <c r="E38" t="str">
        <f>LOWER(IF(orig_e_resources_table!F38=1,TRUE,FALSE))</f>
        <v>false</v>
      </c>
      <c r="F38" t="str">
        <f>LOWER(IF(orig_e_resources_table!I38=1,TRUE,FALSE))</f>
        <v>true</v>
      </c>
      <c r="G38" t="str">
        <f>SUBSTITUTE(SUBSTITUTE(orig_e_resources_table!O38,CHAR(13),""),CHAR(10),"")</f>
        <v>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v>
      </c>
      <c r="I38" t="str">
        <f t="shared" si="0"/>
        <v/>
      </c>
    </row>
    <row r="39" spans="1:9" x14ac:dyDescent="0.25">
      <c r="A39">
        <v>38</v>
      </c>
      <c r="B39" t="str">
        <f>orig_e_resources_table!B39</f>
        <v>Cambridge Journals Online</v>
      </c>
      <c r="C39" t="str">
        <f>IF(orig_e_resources_table!C39="","",orig_e_resources_table!C39)</f>
        <v/>
      </c>
      <c r="D39" t="str">
        <f>orig_e_resources_table!D39</f>
        <v>http://journals.cambridge.org/action/advanceSearch</v>
      </c>
      <c r="E39" t="str">
        <f>LOWER(IF(orig_e_resources_table!F39=1,TRUE,FALSE))</f>
        <v>true</v>
      </c>
      <c r="F39" t="str">
        <f>LOWER(IF(orig_e_resources_table!I39=1,TRUE,FALSE))</f>
        <v>true</v>
      </c>
      <c r="G39" t="str">
        <f>SUBSTITUTE(SUBSTITUTE(orig_e_resources_table!O39,CHAR(13),""),CHAR(10),"")</f>
        <v>Journals published by Cambridge University Press.</v>
      </c>
      <c r="I39" t="str">
        <f t="shared" si="0"/>
        <v>xxx</v>
      </c>
    </row>
    <row r="40" spans="1:9" x14ac:dyDescent="0.25">
      <c r="A40">
        <v>39</v>
      </c>
      <c r="B40" t="str">
        <f>orig_e_resources_table!B40</f>
        <v>CARLI Digital Collections</v>
      </c>
      <c r="C40" t="str">
        <f>IF(orig_e_resources_table!C40="","",orig_e_resources_table!C40)</f>
        <v/>
      </c>
      <c r="D40" t="str">
        <f>orig_e_resources_table!D40</f>
        <v>http://collections.carli.illinois.edu/</v>
      </c>
      <c r="E40" t="str">
        <f>LOWER(IF(orig_e_resources_table!F40=1,TRUE,FALSE))</f>
        <v>true</v>
      </c>
      <c r="F40" t="str">
        <f>LOWER(IF(orig_e_resources_table!I40=1,TRUE,FALSE))</f>
        <v>false</v>
      </c>
      <c r="G40" t="str">
        <f>SUBSTITUTE(SUBSTITUTE(orig_e_resources_table!O40,CHAR(13),""),CHAR(10),"")</f>
        <v>Digital collections created by member libraries of the Consortium of Academic and Research libraries of Illinois (CARLI). Subjects mostly include art, photography, and Illinois history.</v>
      </c>
      <c r="I40" t="str">
        <f t="shared" si="0"/>
        <v>xxx</v>
      </c>
    </row>
    <row r="41" spans="1:9" x14ac:dyDescent="0.25">
      <c r="A41">
        <v>40</v>
      </c>
      <c r="B41" t="str">
        <f>orig_e_resources_table!B41</f>
        <v>Ceramic Abstracts/World Ceramics Abstracts</v>
      </c>
      <c r="C41" t="str">
        <f>IF(orig_e_resources_table!C41="","",orig_e_resources_table!C41)</f>
        <v/>
      </c>
      <c r="D41" t="str">
        <f>orig_e_resources_table!D41</f>
        <v>http://www.csa.com/htbin/dbrng.cgi?username=paulg&amp;access=paulg20&amp;db=wca-set-c</v>
      </c>
      <c r="E41" t="str">
        <f>LOWER(IF(orig_e_resources_table!F41=1,TRUE,FALSE))</f>
        <v>false</v>
      </c>
      <c r="F41" t="str">
        <f>LOWER(IF(orig_e_resources_table!I41=1,TRUE,FALSE))</f>
        <v>true</v>
      </c>
      <c r="G41" t="str">
        <f>SUBSTITUTE(SUBSTITUTE(orig_e_resources_table!O41,CHAR(13),""),CHAR(10),"")</f>
        <v>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v>
      </c>
      <c r="I41" t="str">
        <f t="shared" si="0"/>
        <v/>
      </c>
    </row>
    <row r="42" spans="1:9" x14ac:dyDescent="0.25">
      <c r="A42">
        <v>41</v>
      </c>
      <c r="B42" t="str">
        <f>orig_e_resources_table!B42</f>
        <v>CERN Document Server</v>
      </c>
      <c r="C42" t="str">
        <f>IF(orig_e_resources_table!C42="","",orig_e_resources_table!C42)</f>
        <v/>
      </c>
      <c r="D42" t="str">
        <f>orig_e_resources_table!D42</f>
        <v>http://cdsweb.cern.ch/</v>
      </c>
      <c r="E42" t="str">
        <f>LOWER(IF(orig_e_resources_table!F42=1,TRUE,FALSE))</f>
        <v>true</v>
      </c>
      <c r="F42" t="str">
        <f>LOWER(IF(orig_e_resources_table!I42=1,TRUE,FALSE))</f>
        <v>false</v>
      </c>
      <c r="G42" t="str">
        <f>SUBSTITUTE(SUBSTITUTE(orig_e_resources_table!O42,CHAR(13),""),CHAR(10),"")</f>
        <v>Over 800,000 bibliographic records, including 360,000 full-text documents,of interest to people working in particle physics and related areas. Covers preprints, articles, books, journals, photographs, and much more.</v>
      </c>
      <c r="I42" t="str">
        <f t="shared" si="0"/>
        <v>xxx</v>
      </c>
    </row>
    <row r="43" spans="1:9" x14ac:dyDescent="0.25">
      <c r="A43">
        <v>42</v>
      </c>
      <c r="B43" t="str">
        <f>orig_e_resources_table!B43</f>
        <v>Chemoreception Abstracts</v>
      </c>
      <c r="C43" t="str">
        <f>IF(orig_e_resources_table!C43="","",orig_e_resources_table!C43)</f>
        <v/>
      </c>
      <c r="D43" t="str">
        <f>orig_e_resources_table!D43</f>
        <v>http://www.csa.com/htbin/dbrng.cgi?username=paulg&amp;access=paulg20&amp;db=chemoreception-set-c</v>
      </c>
      <c r="E43" t="str">
        <f>LOWER(IF(orig_e_resources_table!F43=1,TRUE,FALSE))</f>
        <v>false</v>
      </c>
      <c r="F43" t="str">
        <f>LOWER(IF(orig_e_resources_table!I43=1,TRUE,FALSE))</f>
        <v>true</v>
      </c>
      <c r="G43" t="str">
        <f>SUBSTITUTE(SUBSTITUTE(orig_e_resources_table!O43,CHAR(13),""),CHAR(10),"")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c r="I43" t="str">
        <f t="shared" si="0"/>
        <v/>
      </c>
    </row>
    <row r="44" spans="1:9" x14ac:dyDescent="0.25">
      <c r="A44">
        <v>43</v>
      </c>
      <c r="B44" t="str">
        <f>orig_e_resources_table!B44</f>
        <v>CIA World Factbook</v>
      </c>
      <c r="C44" t="str">
        <f>IF(orig_e_resources_table!C44="","",orig_e_resources_table!C44)</f>
        <v/>
      </c>
      <c r="D44" t="str">
        <f>orig_e_resources_table!D44</f>
        <v>https://www.cia.gov/library/publications/the-world-factbook/index.html</v>
      </c>
      <c r="E44" t="str">
        <f>LOWER(IF(orig_e_resources_table!F44=1,TRUE,FALSE))</f>
        <v>true</v>
      </c>
      <c r="F44" t="str">
        <f>LOWER(IF(orig_e_resources_table!I44=1,TRUE,FALSE))</f>
        <v>false</v>
      </c>
      <c r="G44" t="str">
        <f>SUBSTITUTE(SUBSTITUTE(orig_e_resources_table!O44,CHAR(13),""),CHAR(10),"")</f>
        <v>Online reference source containing basic country information, including maps, history, economics, and social studies.</v>
      </c>
      <c r="I44" t="str">
        <f t="shared" si="0"/>
        <v>xxx</v>
      </c>
    </row>
    <row r="45" spans="1:9" x14ac:dyDescent="0.25">
      <c r="A45">
        <v>44</v>
      </c>
      <c r="B45" t="str">
        <f>orig_e_resources_table!B45</f>
        <v>CiteSeer</v>
      </c>
      <c r="C45" t="str">
        <f>IF(orig_e_resources_table!C45="","",orig_e_resources_table!C45)</f>
        <v/>
      </c>
      <c r="D45" t="str">
        <f>orig_e_resources_table!D45</f>
        <v>http://citeseer.ist.psu.edu</v>
      </c>
      <c r="E45" t="str">
        <f>LOWER(IF(orig_e_resources_table!F45=1,TRUE,FALSE))</f>
        <v>true</v>
      </c>
      <c r="F45" t="str">
        <f>LOWER(IF(orig_e_resources_table!I45=1,TRUE,FALSE))</f>
        <v>false</v>
      </c>
      <c r="G45" t="str">
        <f>SUBSTITUTE(SUBSTITUTE(orig_e_resources_table!O45,CHAR(13),""),CHAR(10),"")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c r="I45" t="str">
        <f t="shared" si="0"/>
        <v>xxx</v>
      </c>
    </row>
    <row r="46" spans="1:9" x14ac:dyDescent="0.25">
      <c r="A46">
        <v>45</v>
      </c>
      <c r="B46" t="str">
        <f>orig_e_resources_table!B46</f>
        <v>ClasePeriodica</v>
      </c>
      <c r="C46" t="str">
        <f>IF(orig_e_resources_table!C46="","",orig_e_resources_table!C46)</f>
        <v/>
      </c>
      <c r="D46" t="str">
        <f>orig_e_resources_table!D46</f>
        <v>http://firstsearch.oclc.org/fsip?dbname=ClasePeriodica</v>
      </c>
      <c r="E46" t="str">
        <f>LOWER(IF(orig_e_resources_table!F46=1,TRUE,FALSE))</f>
        <v>true</v>
      </c>
      <c r="F46" t="str">
        <f>LOWER(IF(orig_e_resources_table!I46=1,TRUE,FALSE))</f>
        <v>true</v>
      </c>
      <c r="G46" t="str">
        <f>SUBSTITUTE(SUBSTITUTE(orig_e_resources_table!O46,CHAR(13),""),CHAR(10),"")</f>
        <v>Index of Latin American journals in the sciences and humanities.</v>
      </c>
      <c r="I46" t="str">
        <f t="shared" si="0"/>
        <v>xxx</v>
      </c>
    </row>
    <row r="47" spans="1:9" x14ac:dyDescent="0.25">
      <c r="A47">
        <v>46</v>
      </c>
      <c r="B47" t="str">
        <f>orig_e_resources_table!B47</f>
        <v>CIAO</v>
      </c>
      <c r="C47" t="str">
        <f>IF(orig_e_resources_table!C47="","",orig_e_resources_table!C47)</f>
        <v>Columbia International Affairs Online</v>
      </c>
      <c r="D47" t="str">
        <f>orig_e_resources_table!D47</f>
        <v>http://www.ciaonet.org/</v>
      </c>
      <c r="E47" t="str">
        <f>LOWER(IF(orig_e_resources_table!F47=1,TRUE,FALSE))</f>
        <v>true</v>
      </c>
      <c r="F47" t="str">
        <f>LOWER(IF(orig_e_resources_table!I47=1,TRUE,FALSE))</f>
        <v>true</v>
      </c>
      <c r="G47" t="str">
        <f>SUBSTITUTE(SUBSTITUTE(orig_e_resources_table!O47,CHAR(13),""),CHAR(10),"")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c r="I47" t="str">
        <f t="shared" si="0"/>
        <v>xxx</v>
      </c>
    </row>
    <row r="48" spans="1:9" x14ac:dyDescent="0.25">
      <c r="A48">
        <v>47</v>
      </c>
      <c r="B48" t="str">
        <f>orig_e_resources_table!B48</f>
        <v>Communication and Mass Media Complete</v>
      </c>
      <c r="C48" t="str">
        <f>IF(orig_e_resources_table!C48="","",orig_e_resources_table!C48)</f>
        <v/>
      </c>
      <c r="D48" t="str">
        <f>orig_e_resources_table!D48</f>
        <v>http://search.EBSCOhost.com/login.asp?profile=web&amp;defaultdb=ufh</v>
      </c>
      <c r="E48" t="str">
        <f>LOWER(IF(orig_e_resources_table!F48=1,TRUE,FALSE))</f>
        <v>true</v>
      </c>
      <c r="F48" t="str">
        <f>LOWER(IF(orig_e_resources_table!I48=1,TRUE,FALSE))</f>
        <v>true</v>
      </c>
      <c r="G48" t="str">
        <f>SUBSTITUTE(SUBSTITUTE(orig_e_resources_table!O48,CHAR(13),""),CHAR(10),"")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c r="I48" t="str">
        <f t="shared" si="0"/>
        <v>xxx</v>
      </c>
    </row>
    <row r="49" spans="1:9" x14ac:dyDescent="0.25">
      <c r="A49">
        <v>48</v>
      </c>
      <c r="B49" t="str">
        <f>orig_e_resources_table!B49</f>
        <v>Compendex</v>
      </c>
      <c r="C49" t="str">
        <f>IF(orig_e_resources_table!C49="","",orig_e_resources_table!C49)</f>
        <v/>
      </c>
      <c r="D49" t="str">
        <f>orig_e_resources_table!D49</f>
        <v>http://library.iit.edu/databases/compendex.php</v>
      </c>
      <c r="E49" t="str">
        <f>LOWER(IF(orig_e_resources_table!F49=1,TRUE,FALSE))</f>
        <v>false</v>
      </c>
      <c r="F49" t="str">
        <f>LOWER(IF(orig_e_resources_table!I49=1,TRUE,FALSE))</f>
        <v>true</v>
      </c>
      <c r="G49" t="str">
        <f>SUBSTITUTE(SUBSTITUTE(orig_e_resources_table!O49,CHAR(13),""),CHAR(10),"")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c r="I49" t="str">
        <f t="shared" si="0"/>
        <v/>
      </c>
    </row>
    <row r="50" spans="1:9" x14ac:dyDescent="0.25">
      <c r="A50">
        <v>49</v>
      </c>
      <c r="B50" t="str">
        <f>orig_e_resources_table!B50</f>
        <v>Composites Industry Abstracts</v>
      </c>
      <c r="C50" t="str">
        <f>IF(orig_e_resources_table!C50="","",orig_e_resources_table!C50)</f>
        <v/>
      </c>
      <c r="D50" t="str">
        <f>orig_e_resources_table!D50</f>
        <v>http://www.csa.com/htbin/dbrng.cgi?username=paulg&amp;access=paulg20&amp;db=ema-composites-set-c</v>
      </c>
      <c r="E50" t="str">
        <f>LOWER(IF(orig_e_resources_table!F50=1,TRUE,FALSE))</f>
        <v>false</v>
      </c>
      <c r="F50" t="str">
        <f>LOWER(IF(orig_e_resources_table!I50=1,TRUE,FALSE))</f>
        <v>true</v>
      </c>
      <c r="G50" t="str">
        <f>SUBSTITUTE(SUBSTITUTE(orig_e_resources_table!O50,CHAR(13),""),CHAR(10),"")</f>
        <v>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50" t="str">
        <f t="shared" si="0"/>
        <v/>
      </c>
    </row>
    <row r="51" spans="1:9" x14ac:dyDescent="0.25">
      <c r="A51">
        <v>50</v>
      </c>
      <c r="B51" t="str">
        <f>orig_e_resources_table!B51</f>
        <v>Computer and Information Systems Abstracts</v>
      </c>
      <c r="C51" t="str">
        <f>IF(orig_e_resources_table!C51="","",orig_e_resources_table!C51)</f>
        <v/>
      </c>
      <c r="D51" t="str">
        <f>orig_e_resources_table!D51</f>
        <v>http://www.csa.com/htbin/dbrng.cgi?username=paulg&amp;access=paulg20&amp;db=computer-set-c</v>
      </c>
      <c r="E51" t="str">
        <f>LOWER(IF(orig_e_resources_table!F51=1,TRUE,FALSE))</f>
        <v>false</v>
      </c>
      <c r="F51" t="str">
        <f>LOWER(IF(orig_e_resources_table!I51=1,TRUE,FALSE))</f>
        <v>true</v>
      </c>
      <c r="G51" t="str">
        <f>SUBSTITUTE(SUBSTITUTE(orig_e_resources_table!O51,CHAR(13),""),CHAR(10),"")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c r="I51" t="str">
        <f t="shared" si="0"/>
        <v/>
      </c>
    </row>
    <row r="52" spans="1:9" x14ac:dyDescent="0.25">
      <c r="A52">
        <v>51</v>
      </c>
      <c r="B52" t="str">
        <f>orig_e_resources_table!B52</f>
        <v>CoRR</v>
      </c>
      <c r="C52" t="str">
        <f>IF(orig_e_resources_table!C52="","",orig_e_resources_table!C52)</f>
        <v>Computing Research Repsoitory</v>
      </c>
      <c r="D52" t="str">
        <f>orig_e_resources_table!D52</f>
        <v>http://arxiv.org/corr/home</v>
      </c>
      <c r="E52" t="str">
        <f>LOWER(IF(orig_e_resources_table!F52=1,TRUE,FALSE))</f>
        <v>true</v>
      </c>
      <c r="F52" t="str">
        <f>LOWER(IF(orig_e_resources_table!I52=1,TRUE,FALSE))</f>
        <v>false</v>
      </c>
      <c r="G52" t="str">
        <f>SUBSTITUTE(SUBSTITUTE(orig_e_resources_table!O52,CHAR(13),""),CHAR(10),"")</f>
        <v>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v>
      </c>
      <c r="I52" t="str">
        <f t="shared" si="0"/>
        <v>xxx</v>
      </c>
    </row>
    <row r="53" spans="1:9" x14ac:dyDescent="0.25">
      <c r="A53">
        <v>52</v>
      </c>
      <c r="B53" t="str">
        <f>orig_e_resources_table!B53</f>
        <v>Conference Papers Index</v>
      </c>
      <c r="C53" t="str">
        <f>IF(orig_e_resources_table!C53="","",orig_e_resources_table!C53)</f>
        <v/>
      </c>
      <c r="D53" t="str">
        <f>orig_e_resources_table!D53</f>
        <v>http://www.csa.com/htbin/dbrng.cgi?username=paulg&amp;access=paulg20&amp;db=cpi-set-c</v>
      </c>
      <c r="E53" t="str">
        <f>LOWER(IF(orig_e_resources_table!F53=1,TRUE,FALSE))</f>
        <v>true</v>
      </c>
      <c r="F53" t="str">
        <f>LOWER(IF(orig_e_resources_table!I53=1,TRUE,FALSE))</f>
        <v>true</v>
      </c>
      <c r="G53" t="str">
        <f>SUBSTITUTE(SUBSTITUTE(orig_e_resources_table!O53,CHAR(13),""),CHAR(10),"")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c r="I53" t="str">
        <f t="shared" si="0"/>
        <v>xxx</v>
      </c>
    </row>
    <row r="54" spans="1:9" x14ac:dyDescent="0.25">
      <c r="A54">
        <v>53</v>
      </c>
      <c r="B54" t="str">
        <f>orig_e_resources_table!B54</f>
        <v>Contrails</v>
      </c>
      <c r="C54" t="str">
        <f>IF(orig_e_resources_table!C54="","",orig_e_resources_table!C54)</f>
        <v/>
      </c>
      <c r="D54" t="str">
        <f>orig_e_resources_table!D54</f>
        <v>http://contrails.iit.edu/</v>
      </c>
      <c r="E54" t="str">
        <f>LOWER(IF(orig_e_resources_table!F54=1,TRUE,FALSE))</f>
        <v>true</v>
      </c>
      <c r="F54" t="str">
        <f>LOWER(IF(orig_e_resources_table!I54=1,TRUE,FALSE))</f>
        <v>false</v>
      </c>
      <c r="G54" t="str">
        <f>SUBSTITUTE(SUBSTITUTE(orig_e_resources_table!O54,CHAR(13),""),CHAR(10),"")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c r="I54" t="str">
        <f t="shared" si="0"/>
        <v>xxx</v>
      </c>
    </row>
    <row r="55" spans="1:9" x14ac:dyDescent="0.25">
      <c r="A55">
        <v>54</v>
      </c>
      <c r="B55" t="str">
        <f>orig_e_resources_table!B55</f>
        <v>Copper Data Center Database</v>
      </c>
      <c r="C55" t="str">
        <f>IF(orig_e_resources_table!C55="","",orig_e_resources_table!C55)</f>
        <v/>
      </c>
      <c r="D55" t="str">
        <f>orig_e_resources_table!D55</f>
        <v>http://www.csa.com/htbin/dbrng.cgi?username=paulg&amp;access=paulg20&amp;db=copper-set-c</v>
      </c>
      <c r="E55" t="str">
        <f>LOWER(IF(orig_e_resources_table!F55=1,TRUE,FALSE))</f>
        <v>false</v>
      </c>
      <c r="F55" t="str">
        <f>LOWER(IF(orig_e_resources_table!I55=1,TRUE,FALSE))</f>
        <v>true</v>
      </c>
      <c r="G55" t="str">
        <f>SUBSTITUTE(SUBSTITUTE(orig_e_resources_table!O55,CHAR(13),""),CHAR(10),"")</f>
        <v>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v>
      </c>
      <c r="I55" t="str">
        <f t="shared" si="0"/>
        <v/>
      </c>
    </row>
    <row r="56" spans="1:9" x14ac:dyDescent="0.25">
      <c r="A56">
        <v>55</v>
      </c>
      <c r="B56" t="str">
        <f>orig_e_resources_table!B56</f>
        <v>Corrosion Abstracts</v>
      </c>
      <c r="C56" t="str">
        <f>IF(orig_e_resources_table!C56="","",orig_e_resources_table!C56)</f>
        <v/>
      </c>
      <c r="D56" t="str">
        <f>orig_e_resources_table!D56</f>
        <v>http://www.csa.com/htbin/dbrng.cgi?username=paulg&amp;access=paulg20&amp;db=corrosion-set-c</v>
      </c>
      <c r="E56" t="str">
        <f>LOWER(IF(orig_e_resources_table!F56=1,TRUE,FALSE))</f>
        <v>false</v>
      </c>
      <c r="F56" t="str">
        <f>LOWER(IF(orig_e_resources_table!I56=1,TRUE,FALSE))</f>
        <v>true</v>
      </c>
      <c r="G56" t="str">
        <f>SUBSTITUTE(SUBSTITUTE(orig_e_resources_table!O56,CHAR(13),""),CHAR(10),"")</f>
        <v>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v>
      </c>
      <c r="I56" t="str">
        <f t="shared" si="0"/>
        <v/>
      </c>
    </row>
    <row r="57" spans="1:9" x14ac:dyDescent="0.25">
      <c r="A57">
        <v>56</v>
      </c>
      <c r="B57" t="str">
        <f>orig_e_resources_table!B57</f>
        <v>Country Studies</v>
      </c>
      <c r="C57" t="str">
        <f>IF(orig_e_resources_table!C57="","",orig_e_resources_table!C57)</f>
        <v/>
      </c>
      <c r="D57" t="str">
        <f>orig_e_resources_table!D57</f>
        <v>http://memory.loc.gov/frd/cs/cshome.html</v>
      </c>
      <c r="E57" t="str">
        <f>LOWER(IF(orig_e_resources_table!F57=1,TRUE,FALSE))</f>
        <v>true</v>
      </c>
      <c r="F57" t="str">
        <f>LOWER(IF(orig_e_resources_table!I57=1,TRUE,FALSE))</f>
        <v>false</v>
      </c>
      <c r="G57" t="str">
        <f>SUBSTITUTE(SUBSTITUTE(orig_e_resources_table!O57,CHAR(13),""),CHAR(10),"")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c r="I57" t="str">
        <f t="shared" si="0"/>
        <v>xxx</v>
      </c>
    </row>
    <row r="58" spans="1:9" x14ac:dyDescent="0.25">
      <c r="A58">
        <v>57</v>
      </c>
      <c r="B58" t="str">
        <f>orig_e_resources_table!B58</f>
        <v>CSA</v>
      </c>
      <c r="C58" t="str">
        <f>IF(orig_e_resources_table!C58="","",orig_e_resources_table!C58)</f>
        <v>Cambridge Scientific Abstracts</v>
      </c>
      <c r="D58" t="str">
        <f>orig_e_resources_table!D58</f>
        <v>http://www.csa.com/htbin/dbrng.cgi?username=paulg&amp;access=paulg20&amp;cat=default&amp;adv=1</v>
      </c>
      <c r="E58" t="str">
        <f>LOWER(IF(orig_e_resources_table!F58=1,TRUE,FALSE))</f>
        <v>false</v>
      </c>
      <c r="F58" t="str">
        <f>LOWER(IF(orig_e_resources_table!I58=1,TRUE,FALSE))</f>
        <v>true</v>
      </c>
      <c r="G58" t="str">
        <f>SUBSTITUTE(SUBSTITUTE(orig_e_resources_table!O58,CHAR(13),""),CHAR(10),"")</f>
        <v>Home page for the CSA Illumina search platform. Users can choose from over 50 research indexes to search. CSA databases cover engineering, physical and life sciences, social science, and technology.</v>
      </c>
      <c r="I58" t="str">
        <f t="shared" si="0"/>
        <v/>
      </c>
    </row>
    <row r="59" spans="1:9" x14ac:dyDescent="0.25">
      <c r="A59">
        <v>58</v>
      </c>
      <c r="B59" t="str">
        <f>orig_e_resources_table!B59</f>
        <v>CSA / ASCE Civil Engineering Abstracts</v>
      </c>
      <c r="C59" t="str">
        <f>IF(orig_e_resources_table!C59="","",orig_e_resources_table!C59)</f>
        <v/>
      </c>
      <c r="D59" t="str">
        <f>orig_e_resources_table!D59</f>
        <v>http://www.csa.com/htbin/dbrng.cgi?username=paulg&amp;access=paulg20&amp;db=civil-set-c</v>
      </c>
      <c r="E59" t="str">
        <f>LOWER(IF(orig_e_resources_table!F59=1,TRUE,FALSE))</f>
        <v>false</v>
      </c>
      <c r="F59" t="str">
        <f>LOWER(IF(orig_e_resources_table!I59=1,TRUE,FALSE))</f>
        <v>true</v>
      </c>
      <c r="G59" t="str">
        <f>SUBSTITUTE(SUBSTITUTE(orig_e_resources_table!O59,CHAR(13),""),CHAR(10),"")</f>
        <v>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v>
      </c>
      <c r="I59" t="str">
        <f t="shared" si="0"/>
        <v/>
      </c>
    </row>
    <row r="60" spans="1:9" x14ac:dyDescent="0.25">
      <c r="A60">
        <v>59</v>
      </c>
      <c r="B60" t="str">
        <f>orig_e_resources_table!B60</f>
        <v>CSA Engineering Research Database</v>
      </c>
      <c r="C60" t="str">
        <f>IF(orig_e_resources_table!C60="","",orig_e_resources_table!C60)</f>
        <v/>
      </c>
      <c r="D60" t="str">
        <f>orig_e_resources_table!D60</f>
        <v>http://www.csa.com/htbin/dbrng.cgi?username=paulg&amp;access=paulg20&amp;db=engineering-set-c</v>
      </c>
      <c r="E60" t="str">
        <f>LOWER(IF(orig_e_resources_table!F60=1,TRUE,FALSE))</f>
        <v>false</v>
      </c>
      <c r="F60" t="str">
        <f>LOWER(IF(orig_e_resources_table!I60=1,TRUE,FALSE))</f>
        <v>true</v>
      </c>
      <c r="G60" t="str">
        <f>SUBSTITUTE(SUBSTITUTE(orig_e_resources_table!O60,CHAR(13),""),CHAR(10),"")</f>
        <v>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v>
      </c>
      <c r="I60" t="str">
        <f t="shared" si="0"/>
        <v/>
      </c>
    </row>
    <row r="61" spans="1:9" x14ac:dyDescent="0.25">
      <c r="A61">
        <v>60</v>
      </c>
      <c r="B61" t="str">
        <f>orig_e_resources_table!B61</f>
        <v>CSA High Technology Research Database with Aerospace</v>
      </c>
      <c r="C61" t="str">
        <f>IF(orig_e_resources_table!C61="","",orig_e_resources_table!C61)</f>
        <v/>
      </c>
      <c r="D61" t="str">
        <f>orig_e_resources_table!D61</f>
        <v>http://www.csa.com/htbin/dbrng.cgi?username=paulg&amp;access=paulg20&amp;db=hightech-set-c</v>
      </c>
      <c r="E61" t="str">
        <f>LOWER(IF(orig_e_resources_table!F61=1,TRUE,FALSE))</f>
        <v>false</v>
      </c>
      <c r="F61" t="str">
        <f>LOWER(IF(orig_e_resources_table!I61=1,TRUE,FALSE))</f>
        <v>true</v>
      </c>
      <c r="G61" t="str">
        <f>SUBSTITUTE(SUBSTITUTE(orig_e_resources_table!O61,CHAR(13),""),CHAR(10),"")</f>
        <v>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v>
      </c>
      <c r="I61" t="str">
        <f t="shared" si="0"/>
        <v/>
      </c>
    </row>
    <row r="62" spans="1:9" x14ac:dyDescent="0.25">
      <c r="A62">
        <v>61</v>
      </c>
      <c r="B62" t="str">
        <f>orig_e_resources_table!B62</f>
        <v>CSA Materials Research Database with METADEX</v>
      </c>
      <c r="C62" t="str">
        <f>IF(orig_e_resources_table!C62="","",orig_e_resources_table!C62)</f>
        <v/>
      </c>
      <c r="D62" t="str">
        <f>orig_e_resources_table!D62</f>
        <v>http://www.csa.com/htbin/dbrng.cgi?username=paulg&amp;access=paulg20&amp;db=materials-set-c</v>
      </c>
      <c r="E62" t="str">
        <f>LOWER(IF(orig_e_resources_table!F62=1,TRUE,FALSE))</f>
        <v>false</v>
      </c>
      <c r="F62" t="str">
        <f>LOWER(IF(orig_e_resources_table!I62=1,TRUE,FALSE))</f>
        <v>true</v>
      </c>
      <c r="G62" t="str">
        <f>SUBSTITUTE(SUBSTITUTE(orig_e_resources_table!O62,CHAR(13),""),CHAR(10),"")</f>
        <v>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v>
      </c>
      <c r="I62" t="str">
        <f t="shared" si="0"/>
        <v/>
      </c>
    </row>
    <row r="63" spans="1:9" x14ac:dyDescent="0.25">
      <c r="A63">
        <v>62</v>
      </c>
      <c r="B63" t="str">
        <f>orig_e_resources_table!B63</f>
        <v>CSA Neurosciences Abstracts</v>
      </c>
      <c r="C63" t="str">
        <f>IF(orig_e_resources_table!C63="","",orig_e_resources_table!C63)</f>
        <v/>
      </c>
      <c r="D63" t="str">
        <f>orig_e_resources_table!D63</f>
        <v>http://www.csa.com/htbin/dbrng.cgi?username=paulg&amp;access=paulg20&amp;db=neurosciences-set-c</v>
      </c>
      <c r="E63" t="str">
        <f>LOWER(IF(orig_e_resources_table!F63=1,TRUE,FALSE))</f>
        <v>false</v>
      </c>
      <c r="F63" t="str">
        <f>LOWER(IF(orig_e_resources_table!I63=1,TRUE,FALSE))</f>
        <v>true</v>
      </c>
      <c r="G63" t="str">
        <f>SUBSTITUTE(SUBSTITUTE(orig_e_resources_table!O63,CHAR(13),""),CHAR(10),"")</f>
        <v>This database covers all aspects of vertebrate and invertebrate neuroscience.</v>
      </c>
      <c r="I63" t="str">
        <f t="shared" si="0"/>
        <v/>
      </c>
    </row>
    <row r="64" spans="1:9" x14ac:dyDescent="0.25">
      <c r="A64">
        <v>63</v>
      </c>
      <c r="B64" t="str">
        <f>orig_e_resources_table!B64</f>
        <v>CSA Technology Research Database</v>
      </c>
      <c r="C64" t="str">
        <f>IF(orig_e_resources_table!C64="","",orig_e_resources_table!C64)</f>
        <v/>
      </c>
      <c r="D64" t="str">
        <f>orig_e_resources_table!D64</f>
        <v>http://www.csa.com/htbin/dbrng.cgi?username=paulg&amp;amp;access=paulg20&amp;amp;db=techresearch-set-c</v>
      </c>
      <c r="E64" t="str">
        <f>LOWER(IF(orig_e_resources_table!F64=1,TRUE,FALSE))</f>
        <v>true</v>
      </c>
      <c r="F64" t="str">
        <f>LOWER(IF(orig_e_resources_table!I64=1,TRUE,FALSE))</f>
        <v>true</v>
      </c>
      <c r="G64" t="str">
        <f>SUBSTITUTE(SUBSTITUTE(orig_e_resources_table!O64,CHAR(13),""),CHAR(10),"")</f>
        <v>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v>
      </c>
      <c r="I64" t="str">
        <f t="shared" si="0"/>
        <v>xxx</v>
      </c>
    </row>
    <row r="65" spans="1:9" x14ac:dyDescent="0.25">
      <c r="A65">
        <v>64</v>
      </c>
      <c r="B65" t="str">
        <f>orig_e_resources_table!B65</f>
        <v>CumInCAD</v>
      </c>
      <c r="C65" t="str">
        <f>IF(orig_e_resources_table!C65="","",orig_e_resources_table!C65)</f>
        <v/>
      </c>
      <c r="D65" t="str">
        <f>orig_e_resources_table!D65</f>
        <v>http://cumincad.scix.net</v>
      </c>
      <c r="E65" t="str">
        <f>LOWER(IF(orig_e_resources_table!F65=1,TRUE,FALSE))</f>
        <v>true</v>
      </c>
      <c r="F65" t="str">
        <f>LOWER(IF(orig_e_resources_table!I65=1,TRUE,FALSE))</f>
        <v>true</v>
      </c>
      <c r="G65" t="str">
        <f>SUBSTITUTE(SUBSTITUTE(orig_e_resources_table!O65,CHAR(13),""),CHAR(10),"")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c r="I65" t="str">
        <f t="shared" si="0"/>
        <v>xxx</v>
      </c>
    </row>
    <row r="66" spans="1:9" x14ac:dyDescent="0.25">
      <c r="A66">
        <v>65</v>
      </c>
      <c r="B66" t="str">
        <f>orig_e_resources_table!B66</f>
        <v>DARTS</v>
      </c>
      <c r="C66" t="str">
        <f>IF(orig_e_resources_table!C66="","",orig_e_resources_table!C66)</f>
        <v>Depository Access to Reports, Technical and Scientific</v>
      </c>
      <c r="D66" t="str">
        <f>orig_e_resources_table!D66</f>
        <v>http://www.gl.iit.edu/govdocs/internet/darts.htm</v>
      </c>
      <c r="E66" t="str">
        <f>LOWER(IF(orig_e_resources_table!F66=1,TRUE,FALSE))</f>
        <v>true</v>
      </c>
      <c r="F66" t="str">
        <f>LOWER(IF(orig_e_resources_table!I66=1,TRUE,FALSE))</f>
        <v>true</v>
      </c>
      <c r="G66" t="str">
        <f>SUBSTITUTE(SUBSTITUTE(orig_e_resources_table!O66,CHAR(13),""),CHAR(10),"")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c r="I66" t="str">
        <f t="shared" si="0"/>
        <v>xxx</v>
      </c>
    </row>
    <row r="67" spans="1:9" x14ac:dyDescent="0.25">
      <c r="A67">
        <v>66</v>
      </c>
      <c r="B67" t="str">
        <f>orig_e_resources_table!B67</f>
        <v>Dissertations and Theses</v>
      </c>
      <c r="C67" t="str">
        <f>IF(orig_e_resources_table!C67="","",orig_e_resources_table!C67)</f>
        <v/>
      </c>
      <c r="D67" t="str">
        <f>orig_e_resources_table!D67</f>
        <v>http://search.proquest.com/pqdtft</v>
      </c>
      <c r="E67" t="str">
        <f>LOWER(IF(orig_e_resources_table!F67=1,TRUE,FALSE))</f>
        <v>true</v>
      </c>
      <c r="F67" t="str">
        <f>LOWER(IF(orig_e_resources_table!I67=1,TRUE,FALSE))</f>
        <v>true</v>
      </c>
      <c r="G67" t="str">
        <f>SUBSTITUTE(SUBSTITUTE(orig_e_resources_table!O67,CHAR(13),""),CHAR(10),"")</f>
        <v>Online database of doctoral dissertations and master's theses. Full-text is available for many items, and ordering/purchasing information is included for those items with no full-text.</v>
      </c>
      <c r="I67" t="str">
        <f t="shared" ref="I67:I130" si="1">IF(E67="true","xxx","")</f>
        <v>xxx</v>
      </c>
    </row>
    <row r="68" spans="1:9" x14ac:dyDescent="0.25">
      <c r="A68">
        <v>67</v>
      </c>
      <c r="B68" t="str">
        <f>orig_e_resources_table!B68</f>
        <v>Dissertations and Theses at IIT</v>
      </c>
      <c r="C68" t="str">
        <f>IF(orig_e_resources_table!C68="","",orig_e_resources_table!C68)</f>
        <v/>
      </c>
      <c r="D68" t="str">
        <f>orig_e_resources_table!D68</f>
        <v>http://search.proquest.com/pqdtlocal</v>
      </c>
      <c r="E68" t="str">
        <f>LOWER(IF(orig_e_resources_table!F68=1,TRUE,FALSE))</f>
        <v>true</v>
      </c>
      <c r="F68" t="str">
        <f>LOWER(IF(orig_e_resources_table!I68=1,TRUE,FALSE))</f>
        <v>true</v>
      </c>
      <c r="G68" t="str">
        <f>SUBSTITUTE(SUBSTITUTE(orig_e_resources_table!O68,CHAR(13),""),CHAR(10),"")</f>
        <v>Subset of Dissertations and Theses, an online database of doctoral dissertations, featuring work by IIT students. Full-text is available for many items, and ordering/purchasing information is included for those items with no full-text.</v>
      </c>
      <c r="I68" t="str">
        <f t="shared" si="1"/>
        <v>xxx</v>
      </c>
    </row>
    <row r="69" spans="1:9" x14ac:dyDescent="0.25">
      <c r="A69">
        <v>68</v>
      </c>
      <c r="B69" t="str">
        <f>orig_e_resources_table!B69</f>
        <v>Bizminer</v>
      </c>
      <c r="C69" t="str">
        <f>IF(orig_e_resources_table!C69="","",orig_e_resources_table!C69)</f>
        <v>NULL</v>
      </c>
      <c r="D69" t="str">
        <f>orig_e_resources_table!D69</f>
        <v>http://www.bizminer.com/</v>
      </c>
      <c r="E69" t="str">
        <f>LOWER(IF(orig_e_resources_table!F69=1,TRUE,FALSE))</f>
        <v>true</v>
      </c>
      <c r="F69" t="str">
        <f>LOWER(IF(orig_e_resources_table!I69=1,TRUE,FALSE))</f>
        <v>true</v>
      </c>
      <c r="G69" t="str">
        <f>SUBSTITUTE(SUBSTITUTE(orig_e_resources_table!O69,CHAR(13),""),CHAR(10),"")</f>
        <v>BizMiner produces granular industry statistical reports for over 5,000 lines of business and industry market trends. Used for establishing fair prices for business sales, creating business plans, and finding new markets.</v>
      </c>
      <c r="I69" t="str">
        <f t="shared" si="1"/>
        <v>xxx</v>
      </c>
    </row>
    <row r="70" spans="1:9" x14ac:dyDescent="0.25">
      <c r="A70">
        <v>69</v>
      </c>
      <c r="B70" t="str">
        <f>orig_e_resources_table!B70</f>
        <v>Earthquake Engineering Abstracts</v>
      </c>
      <c r="C70" t="str">
        <f>IF(orig_e_resources_table!C70="","",orig_e_resources_table!C70)</f>
        <v/>
      </c>
      <c r="D70" t="str">
        <f>orig_e_resources_table!D70</f>
        <v>http://www.csa.com/htbin/dbrng.cgi?username=paulg&amp;access=paulg20&amp;db=earthquake-set-c</v>
      </c>
      <c r="E70" t="str">
        <f>LOWER(IF(orig_e_resources_table!F70=1,TRUE,FALSE))</f>
        <v>false</v>
      </c>
      <c r="F70" t="str">
        <f>LOWER(IF(orig_e_resources_table!I70=1,TRUE,FALSE))</f>
        <v>true</v>
      </c>
      <c r="G70" t="str">
        <f>SUBSTITUTE(SUBSTITUTE(orig_e_resources_table!O70,CHAR(13),""),CHAR(10),"")</f>
        <v>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v>
      </c>
      <c r="I70" t="str">
        <f t="shared" si="1"/>
        <v/>
      </c>
    </row>
    <row r="71" spans="1:9" x14ac:dyDescent="0.25">
      <c r="A71">
        <v>70</v>
      </c>
      <c r="B71" t="str">
        <f>orig_e_resources_table!B71</f>
        <v>ECO</v>
      </c>
      <c r="C71" t="str">
        <f>IF(orig_e_resources_table!C71="","",orig_e_resources_table!C71)</f>
        <v>Electronic Collections Online</v>
      </c>
      <c r="D71" t="str">
        <f>orig_e_resources_table!D71</f>
        <v>http://newfirstsearch.oclc.org/dbname=ECO;FSIP</v>
      </c>
      <c r="E71" t="str">
        <f>LOWER(IF(orig_e_resources_table!F71=1,TRUE,FALSE))</f>
        <v>true</v>
      </c>
      <c r="F71" t="str">
        <f>LOWER(IF(orig_e_resources_table!I71=1,TRUE,FALSE))</f>
        <v>true</v>
      </c>
      <c r="G71" t="str">
        <f>SUBSTITUTE(SUBSTITUTE(orig_e_resources_table!O71,CHAR(13),""),CHAR(10),"")</f>
        <v>An OCLC collection of scholarly journals.</v>
      </c>
      <c r="I71" t="str">
        <f t="shared" si="1"/>
        <v>xxx</v>
      </c>
    </row>
    <row r="72" spans="1:9" x14ac:dyDescent="0.25">
      <c r="A72">
        <v>71</v>
      </c>
      <c r="B72" t="str">
        <f>orig_e_resources_table!B72</f>
        <v>Ecology Abstracts</v>
      </c>
      <c r="C72" t="str">
        <f>IF(orig_e_resources_table!C72="","",orig_e_resources_table!C72)</f>
        <v/>
      </c>
      <c r="D72" t="str">
        <f>orig_e_resources_table!D72</f>
        <v>http://www.csa.com/htbin/dbrng.cgi?username=paulg&amp;access=paulg20&amp;db=ecology-set-c</v>
      </c>
      <c r="E72" t="str">
        <f>LOWER(IF(orig_e_resources_table!F72=1,TRUE,FALSE))</f>
        <v>false</v>
      </c>
      <c r="F72" t="str">
        <f>LOWER(IF(orig_e_resources_table!I72=1,TRUE,FALSE))</f>
        <v>true</v>
      </c>
      <c r="G72" t="str">
        <f>SUBSTITUTE(SUBSTITUTE(orig_e_resources_table!O72,CHAR(13),""),CHAR(10),"")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c r="I72" t="str">
        <f t="shared" si="1"/>
        <v/>
      </c>
    </row>
    <row r="73" spans="1:9" x14ac:dyDescent="0.25">
      <c r="A73">
        <v>72</v>
      </c>
      <c r="B73" t="str">
        <f>orig_e_resources_table!B73</f>
        <v>EconLit</v>
      </c>
      <c r="C73" t="str">
        <f>IF(orig_e_resources_table!C73="","",orig_e_resources_table!C73)</f>
        <v/>
      </c>
      <c r="D73" t="str">
        <f>orig_e_resources_table!D73</f>
        <v>http://search.EBSCOhost.com/login.asp?profile=web&amp;defaultdb=ecn</v>
      </c>
      <c r="E73" t="str">
        <f>LOWER(IF(orig_e_resources_table!F73=1,TRUE,FALSE))</f>
        <v>true</v>
      </c>
      <c r="F73" t="str">
        <f>LOWER(IF(orig_e_resources_table!I73=1,TRUE,FALSE))</f>
        <v>true</v>
      </c>
      <c r="G73" t="str">
        <f>SUBSTITUTE(SUBSTITUTE(orig_e_resources_table!O73,CHAR(13),""),CHAR(10),"")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c r="I73" t="str">
        <f t="shared" si="1"/>
        <v>xxx</v>
      </c>
    </row>
    <row r="74" spans="1:9" x14ac:dyDescent="0.25">
      <c r="A74">
        <v>73</v>
      </c>
      <c r="B74" t="str">
        <f>orig_e_resources_table!B74</f>
        <v>Eighteenth Century Collections Online</v>
      </c>
      <c r="C74" t="str">
        <f>IF(orig_e_resources_table!C74="","",orig_e_resources_table!C74)</f>
        <v/>
      </c>
      <c r="D74" t="str">
        <f>orig_e_resources_table!D74</f>
        <v>http://find.galegroup.com/menu/start?userGroupName=chic40381&amp;prod=ECCO</v>
      </c>
      <c r="E74" t="str">
        <f>LOWER(IF(orig_e_resources_table!F74=1,TRUE,FALSE))</f>
        <v>true</v>
      </c>
      <c r="F74" t="str">
        <f>LOWER(IF(orig_e_resources_table!I74=1,TRUE,FALSE))</f>
        <v>false</v>
      </c>
      <c r="G74" t="str">
        <f>SUBSTITUTE(SUBSTITUTE(orig_e_resources_table!O74,CHAR(13),""),CHAR(10),"")</f>
        <v>Online collection of 150,000 books published during the 18th century, covering the fields of history, literature, religion, law, fine arts, science and more.</v>
      </c>
      <c r="I74" t="str">
        <f t="shared" si="1"/>
        <v>xxx</v>
      </c>
    </row>
    <row r="75" spans="1:9" x14ac:dyDescent="0.25">
      <c r="A75">
        <v>74</v>
      </c>
      <c r="B75" t="str">
        <f>orig_e_resources_table!B75</f>
        <v>EIS</v>
      </c>
      <c r="C75" t="str">
        <f>IF(orig_e_resources_table!C75="","",orig_e_resources_table!C75)</f>
        <v>Digests of Environmental Impact Statements</v>
      </c>
      <c r="D75" t="str">
        <f>orig_e_resources_table!D75</f>
        <v>http://www.csa.com/htbin/dbrng.cgi?username=paulg&amp;access=paulg20&amp;db=eis-set-c</v>
      </c>
      <c r="E75" t="str">
        <f>LOWER(IF(orig_e_resources_table!F75=1,TRUE,FALSE))</f>
        <v>false</v>
      </c>
      <c r="F75" t="str">
        <f>LOWER(IF(orig_e_resources_table!I75=1,TRUE,FALSE))</f>
        <v>true</v>
      </c>
      <c r="G75" t="str">
        <f>SUBSTITUTE(SUBSTITUTE(orig_e_resources_table!O75,CHAR(13),""),CHAR(10),"")</f>
        <v>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v>
      </c>
      <c r="I75" t="str">
        <f t="shared" si="1"/>
        <v/>
      </c>
    </row>
    <row r="76" spans="1:9" x14ac:dyDescent="0.25">
      <c r="A76">
        <v>75</v>
      </c>
      <c r="B76" t="str">
        <f>orig_e_resources_table!B76</f>
        <v>Electronics and Communications Abstracts</v>
      </c>
      <c r="C76" t="str">
        <f>IF(orig_e_resources_table!C76="","",orig_e_resources_table!C76)</f>
        <v/>
      </c>
      <c r="D76" t="str">
        <f>orig_e_resources_table!D76</f>
        <v>http://www.csa.com/htbin/dbrng.cgi?username=paulg&amp;access=paulg20&amp;db=electronics-set-c</v>
      </c>
      <c r="E76" t="str">
        <f>LOWER(IF(orig_e_resources_table!F76=1,TRUE,FALSE))</f>
        <v>false</v>
      </c>
      <c r="F76" t="str">
        <f>LOWER(IF(orig_e_resources_table!I76=1,TRUE,FALSE))</f>
        <v>true</v>
      </c>
      <c r="G76" t="str">
        <f>SUBSTITUTE(SUBSTITUTE(orig_e_resources_table!O76,CHAR(13),""),CHAR(10),"")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c r="I76" t="str">
        <f t="shared" si="1"/>
        <v/>
      </c>
    </row>
    <row r="77" spans="1:9" x14ac:dyDescent="0.25">
      <c r="A77">
        <v>76</v>
      </c>
      <c r="B77" t="str">
        <f>orig_e_resources_table!B77</f>
        <v>Emporis</v>
      </c>
      <c r="C77" t="str">
        <f>IF(orig_e_resources_table!C77="","",orig_e_resources_table!C77)</f>
        <v/>
      </c>
      <c r="D77" t="str">
        <f>orig_e_resources_table!D77</f>
        <v>http://research.emporis.com/</v>
      </c>
      <c r="E77" t="str">
        <f>LOWER(IF(orig_e_resources_table!F77=1,TRUE,FALSE))</f>
        <v>false</v>
      </c>
      <c r="F77" t="str">
        <f>LOWER(IF(orig_e_resources_table!I77=1,TRUE,FALSE))</f>
        <v>true</v>
      </c>
      <c r="G77" t="str">
        <f>SUBSTITUTE(SUBSTITUTE(orig_e_resources_table!O77,CHAR(13),""),CHAR(10),"")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c r="I77" t="str">
        <f t="shared" si="1"/>
        <v/>
      </c>
    </row>
    <row r="78" spans="1:9" x14ac:dyDescent="0.25">
      <c r="A78">
        <v>77</v>
      </c>
      <c r="B78" t="str">
        <f>orig_e_resources_table!B78</f>
        <v>Endocrinology Abstracts</v>
      </c>
      <c r="C78" t="str">
        <f>IF(orig_e_resources_table!C78="","",orig_e_resources_table!C78)</f>
        <v/>
      </c>
      <c r="D78" t="str">
        <f>orig_e_resources_table!D78</f>
        <v>http://www.csa.com/htbin/dbrng.cgi?username=paulg&amp;access=paulg20&amp;db=endocrinology-archival-set-c</v>
      </c>
      <c r="E78" t="str">
        <f>LOWER(IF(orig_e_resources_table!F78=1,TRUE,FALSE))</f>
        <v>false</v>
      </c>
      <c r="F78" t="str">
        <f>LOWER(IF(orig_e_resources_table!I78=1,TRUE,FALSE))</f>
        <v>true</v>
      </c>
      <c r="G78" t="str">
        <f>SUBSTITUTE(SUBSTITUTE(orig_e_resources_table!O78,CHAR(13),""),CHAR(10),"")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c r="I78" t="str">
        <f t="shared" si="1"/>
        <v/>
      </c>
    </row>
    <row r="79" spans="1:9" x14ac:dyDescent="0.25">
      <c r="A79">
        <v>78</v>
      </c>
      <c r="B79" t="str">
        <f>orig_e_resources_table!B79</f>
        <v>Energy Citations Database</v>
      </c>
      <c r="C79" t="str">
        <f>IF(orig_e_resources_table!C79="","",orig_e_resources_table!C79)</f>
        <v/>
      </c>
      <c r="D79" t="str">
        <f>orig_e_resources_table!D79</f>
        <v>http://www.osti.gov/energycitations/basicsearch.jsp</v>
      </c>
      <c r="E79" t="str">
        <f>LOWER(IF(orig_e_resources_table!F79=1,TRUE,FALSE))</f>
        <v>true</v>
      </c>
      <c r="F79" t="str">
        <f>LOWER(IF(orig_e_resources_table!I79=1,TRUE,FALSE))</f>
        <v>false</v>
      </c>
      <c r="G79" t="str">
        <f>SUBSTITUTE(SUBSTITUTE(orig_e_resources_table!O79,CHAR(13),""),CHAR(10),"")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c r="I79" t="str">
        <f t="shared" si="1"/>
        <v>xxx</v>
      </c>
    </row>
    <row r="80" spans="1:9" x14ac:dyDescent="0.25">
      <c r="A80">
        <v>79</v>
      </c>
      <c r="B80" t="str">
        <f>orig_e_resources_table!B80</f>
        <v>Engineered Materials Abstracts</v>
      </c>
      <c r="C80" t="str">
        <f>IF(orig_e_resources_table!C80="","",orig_e_resources_table!C80)</f>
        <v/>
      </c>
      <c r="D80" t="str">
        <f>orig_e_resources_table!D80</f>
        <v>http://www.csa.com/htbin/dbrng.cgi?username=paulg&amp;access=paulg20&amp;db=emaclust-set-c</v>
      </c>
      <c r="E80" t="str">
        <f>LOWER(IF(orig_e_resources_table!F80=1,TRUE,FALSE))</f>
        <v>false</v>
      </c>
      <c r="F80" t="str">
        <f>LOWER(IF(orig_e_resources_table!I80=1,TRUE,FALSE))</f>
        <v>true</v>
      </c>
      <c r="G80" t="str">
        <f>SUBSTITUTE(SUBSTITUTE(orig_e_resources_table!O80,CHAR(13),""),CHAR(10),"")</f>
        <v>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v>
      </c>
      <c r="I80" t="str">
        <f t="shared" si="1"/>
        <v/>
      </c>
    </row>
    <row r="81" spans="1:9" x14ac:dyDescent="0.25">
      <c r="A81">
        <v>80</v>
      </c>
      <c r="B81" t="str">
        <f>orig_e_resources_table!B81</f>
        <v>Engineered Materials Abstracts, Ceramics</v>
      </c>
      <c r="C81" t="str">
        <f>IF(orig_e_resources_table!C81="","",orig_e_resources_table!C81)</f>
        <v/>
      </c>
      <c r="D81" t="str">
        <f>orig_e_resources_table!D81</f>
        <v>http://www.csa.com/htbin/dbrng.cgi?username=paulg&amp;access=paulg20&amp;db=ema-ceramics-set-c</v>
      </c>
      <c r="E81" t="str">
        <f>LOWER(IF(orig_e_resources_table!F81=1,TRUE,FALSE))</f>
        <v>false</v>
      </c>
      <c r="F81" t="str">
        <f>LOWER(IF(orig_e_resources_table!I81=1,TRUE,FALSE))</f>
        <v>true</v>
      </c>
      <c r="G81" t="str">
        <f>SUBSTITUTE(SUBSTITUTE(orig_e_resources_table!O81,CHAR(13),""),CHAR(10),"")</f>
        <v>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v>
      </c>
      <c r="I81" t="str">
        <f t="shared" si="1"/>
        <v/>
      </c>
    </row>
    <row r="82" spans="1:9" x14ac:dyDescent="0.25">
      <c r="A82">
        <v>81</v>
      </c>
      <c r="B82" t="str">
        <f>orig_e_resources_table!B82</f>
        <v>Engineering Sciences and Pollution Management</v>
      </c>
      <c r="C82" t="str">
        <f>IF(orig_e_resources_table!C82="","",orig_e_resources_table!C82)</f>
        <v/>
      </c>
      <c r="D82" t="str">
        <f>orig_e_resources_table!D82</f>
        <v>http://www.csa.com/htbin/dbrng.cgi?username=paulg&amp;access=paulg20&amp;db=envclust-set-c</v>
      </c>
      <c r="E82" t="str">
        <f>LOWER(IF(orig_e_resources_table!F82=1,TRUE,FALSE))</f>
        <v>false</v>
      </c>
      <c r="F82" t="str">
        <f>LOWER(IF(orig_e_resources_table!I82=1,TRUE,FALSE))</f>
        <v>true</v>
      </c>
      <c r="G82" t="str">
        <f>SUBSTITUTE(SUBSTITUTE(orig_e_resources_table!O82,CHAR(13),""),CHAR(10),"")</f>
        <v/>
      </c>
      <c r="I82" t="str">
        <f t="shared" si="1"/>
        <v/>
      </c>
    </row>
    <row r="83" spans="1:9" x14ac:dyDescent="0.25">
      <c r="A83">
        <v>82</v>
      </c>
      <c r="B83" t="str">
        <f>orig_e_resources_table!B83</f>
        <v>Entomology Abstracts</v>
      </c>
      <c r="C83" t="str">
        <f>IF(orig_e_resources_table!C83="","",orig_e_resources_table!C83)</f>
        <v/>
      </c>
      <c r="D83" t="str">
        <f>orig_e_resources_table!D83</f>
        <v>http://www.csa.com/htbin/dbrng.cgi?username=paulg&amp;access=paulg20&amp;db=entomology-set-c</v>
      </c>
      <c r="E83" t="str">
        <f>LOWER(IF(orig_e_resources_table!F83=1,TRUE,FALSE))</f>
        <v>false</v>
      </c>
      <c r="F83" t="str">
        <f>LOWER(IF(orig_e_resources_table!I83=1,TRUE,FALSE))</f>
        <v>true</v>
      </c>
      <c r="G83" t="str">
        <f>SUBSTITUTE(SUBSTITUTE(orig_e_resources_table!O83,CHAR(13),""),CHAR(10),"")</f>
        <v>Entomology Abstracts covers recent research reports on entomology, with coverage including insects, arachnids, myriapods, onychophorans, and terrestrial isopods.</v>
      </c>
      <c r="I83" t="str">
        <f t="shared" si="1"/>
        <v/>
      </c>
    </row>
    <row r="84" spans="1:9" x14ac:dyDescent="0.25">
      <c r="A84">
        <v>83</v>
      </c>
      <c r="B84" t="str">
        <f>orig_e_resources_table!B84</f>
        <v>Environmental Engineering Abstracts</v>
      </c>
      <c r="C84" t="str">
        <f>IF(orig_e_resources_table!C84="","",orig_e_resources_table!C84)</f>
        <v/>
      </c>
      <c r="D84" t="str">
        <f>orig_e_resources_table!D84</f>
        <v>http://www.csa.com/htbin/dbrng.cgi?username=paulg&amp;access=paulg20&amp;db=environmental-set-c</v>
      </c>
      <c r="E84" t="str">
        <f>LOWER(IF(orig_e_resources_table!F84=1,TRUE,FALSE))</f>
        <v>false</v>
      </c>
      <c r="F84" t="str">
        <f>LOWER(IF(orig_e_resources_table!I84=1,TRUE,FALSE))</f>
        <v>true</v>
      </c>
      <c r="G84" t="str">
        <f>SUBSTITUTE(SUBSTITUTE(orig_e_resources_table!O84,CHAR(13),""),CHAR(10),"")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c r="I84" t="str">
        <f t="shared" si="1"/>
        <v/>
      </c>
    </row>
    <row r="85" spans="1:9" x14ac:dyDescent="0.25">
      <c r="A85">
        <v>84</v>
      </c>
      <c r="B85" t="str">
        <f>orig_e_resources_table!B85</f>
        <v>Environmental Sciences and Pollution Mgmt</v>
      </c>
      <c r="C85" t="str">
        <f>IF(orig_e_resources_table!C85="","",orig_e_resources_table!C85)</f>
        <v/>
      </c>
      <c r="D85" t="str">
        <f>orig_e_resources_table!D85</f>
        <v>http://www.csa.com/htbin/dbrng.cgi?username=paulg&amp;access=paulg20&amp;db=envclust-set-c</v>
      </c>
      <c r="E85" t="str">
        <f>LOWER(IF(orig_e_resources_table!F85=1,TRUE,FALSE))</f>
        <v>true</v>
      </c>
      <c r="F85" t="str">
        <f>LOWER(IF(orig_e_resources_table!I85=1,TRUE,FALSE))</f>
        <v>true</v>
      </c>
      <c r="G85" t="str">
        <f>SUBSTITUTE(SUBSTITUTE(orig_e_resources_table!O85,CHAR(13),""),CHAR(10),"")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c r="I85" t="str">
        <f t="shared" si="1"/>
        <v>xxx</v>
      </c>
    </row>
    <row r="86" spans="1:9" x14ac:dyDescent="0.25">
      <c r="A86">
        <v>85</v>
      </c>
      <c r="B86" t="str">
        <f>orig_e_resources_table!B86</f>
        <v>EPA Science Inventory</v>
      </c>
      <c r="C86" t="str">
        <f>IF(orig_e_resources_table!C86="","",orig_e_resources_table!C86)</f>
        <v/>
      </c>
      <c r="D86" t="str">
        <f>orig_e_resources_table!D86</f>
        <v>http://cfpub.epa.gov/si</v>
      </c>
      <c r="E86" t="str">
        <f>LOWER(IF(orig_e_resources_table!F86=1,TRUE,FALSE))</f>
        <v>true</v>
      </c>
      <c r="F86" t="str">
        <f>LOWER(IF(orig_e_resources_table!I86=1,TRUE,FALSE))</f>
        <v>false</v>
      </c>
      <c r="G86" t="str">
        <f>SUBSTITUTE(SUBSTITUTE(orig_e_resources_table!O86,CHAR(13),""),CHAR(10),"")</f>
        <v>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v>
      </c>
      <c r="I86" t="str">
        <f t="shared" si="1"/>
        <v>xxx</v>
      </c>
    </row>
    <row r="87" spans="1:9" x14ac:dyDescent="0.25">
      <c r="A87">
        <v>86</v>
      </c>
      <c r="B87" t="str">
        <f>orig_e_resources_table!B87</f>
        <v>E-print Network</v>
      </c>
      <c r="C87" t="str">
        <f>IF(orig_e_resources_table!C87="","",orig_e_resources_table!C87)</f>
        <v/>
      </c>
      <c r="D87" t="str">
        <f>orig_e_resources_table!D87</f>
        <v>http://eprints.osti.gov/</v>
      </c>
      <c r="E87" t="str">
        <f>LOWER(IF(orig_e_resources_table!F87=1,TRUE,FALSE))</f>
        <v>true</v>
      </c>
      <c r="F87" t="str">
        <f>LOWER(IF(orig_e_resources_table!I87=1,TRUE,FALSE))</f>
        <v>false</v>
      </c>
      <c r="G87" t="str">
        <f>SUBSTITUTE(SUBSTITUTE(orig_e_resources_table!O87,CHAR(13),""),CHAR(10),"")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c r="I87" t="str">
        <f t="shared" si="1"/>
        <v>xxx</v>
      </c>
    </row>
    <row r="88" spans="1:9" x14ac:dyDescent="0.25">
      <c r="A88">
        <v>87</v>
      </c>
      <c r="B88" t="str">
        <f>orig_e_resources_table!B88</f>
        <v>ERIC</v>
      </c>
      <c r="C88" t="str">
        <f>IF(orig_e_resources_table!C88="","",orig_e_resources_table!C88)</f>
        <v>Education Resources Information Center</v>
      </c>
      <c r="D88" t="str">
        <f>orig_e_resources_table!D88</f>
        <v>http://search.EBSCOhost.com/login.asp?profile=web&amp;defaultdb=eric</v>
      </c>
      <c r="E88" t="str">
        <f>LOWER(IF(orig_e_resources_table!F88=1,TRUE,FALSE))</f>
        <v>true</v>
      </c>
      <c r="F88" t="str">
        <f>LOWER(IF(orig_e_resources_table!I88=1,TRUE,FALSE))</f>
        <v>true</v>
      </c>
      <c r="G88" t="str">
        <f>SUBSTITUTE(SUBSTITUTE(orig_e_resources_table!O88,CHAR(13),""),CHAR(10),"")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c r="I88" t="str">
        <f t="shared" si="1"/>
        <v>xxx</v>
      </c>
    </row>
    <row r="89" spans="1:9" x14ac:dyDescent="0.25">
      <c r="A89">
        <v>88</v>
      </c>
      <c r="B89" t="str">
        <f>orig_e_resources_table!B89</f>
        <v>esp@cenet</v>
      </c>
      <c r="C89" t="str">
        <f>IF(orig_e_resources_table!C89="","",orig_e_resources_table!C89)</f>
        <v/>
      </c>
      <c r="D89" t="str">
        <f>orig_e_resources_table!D89</f>
        <v>http://ep.espacenet.com/</v>
      </c>
      <c r="E89" t="str">
        <f>LOWER(IF(orig_e_resources_table!F89=1,TRUE,FALSE))</f>
        <v>true</v>
      </c>
      <c r="F89" t="str">
        <f>LOWER(IF(orig_e_resources_table!I89=1,TRUE,FALSE))</f>
        <v>false</v>
      </c>
      <c r="G89" t="str">
        <f>SUBSTITUTE(SUBSTITUTE(orig_e_resources_table!O89,CHAR(13),""),CHAR(10),"")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c r="I89" t="str">
        <f t="shared" si="1"/>
        <v>xxx</v>
      </c>
    </row>
    <row r="90" spans="1:9" x14ac:dyDescent="0.25">
      <c r="A90">
        <v>89</v>
      </c>
      <c r="B90" t="str">
        <f>orig_e_resources_table!B90</f>
        <v>Fermilab Technical Publications</v>
      </c>
      <c r="C90" t="str">
        <f>IF(orig_e_resources_table!C90="","",orig_e_resources_table!C90)</f>
        <v/>
      </c>
      <c r="D90" t="str">
        <f>orig_e_resources_table!D90</f>
        <v>http://bss.fnal.gov/techpubs/fermilab_spires.html</v>
      </c>
      <c r="E90" t="str">
        <f>LOWER(IF(orig_e_resources_table!F90=1,TRUE,FALSE))</f>
        <v>true</v>
      </c>
      <c r="F90" t="str">
        <f>LOWER(IF(orig_e_resources_table!I90=1,TRUE,FALSE))</f>
        <v>false</v>
      </c>
      <c r="G90" t="str">
        <f>SUBSTITUTE(SUBSTITUTE(orig_e_resources_table!O90,CHAR(13),""),CHAR(10),"")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c r="I90" t="str">
        <f t="shared" si="1"/>
        <v>xxx</v>
      </c>
    </row>
    <row r="91" spans="1:9" x14ac:dyDescent="0.25">
      <c r="A91">
        <v>90</v>
      </c>
      <c r="B91" t="str">
        <f>orig_e_resources_table!B91</f>
        <v>FSTA - Food Science and Technology Abstracts</v>
      </c>
      <c r="C91" t="str">
        <f>IF(orig_e_resources_table!C91="","",orig_e_resources_table!C91)</f>
        <v/>
      </c>
      <c r="D91" t="str">
        <f>orig_e_resources_table!D91</f>
        <v>http://search.EBSCOhost.com/login.asp?profile=web&amp;defaultdb=ffh</v>
      </c>
      <c r="E91" t="str">
        <f>LOWER(IF(orig_e_resources_table!F91=1,TRUE,FALSE))</f>
        <v>false</v>
      </c>
      <c r="F91" t="str">
        <f>LOWER(IF(orig_e_resources_table!I91=1,TRUE,FALSE))</f>
        <v>true</v>
      </c>
      <c r="G91" t="str">
        <f>SUBSTITUTE(SUBSTITUTE(orig_e_resources_table!O91,CHAR(13),""),CHAR(10),"")</f>
        <v>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v>
      </c>
      <c r="I91" t="str">
        <f t="shared" si="1"/>
        <v/>
      </c>
    </row>
    <row r="92" spans="1:9" x14ac:dyDescent="0.25">
      <c r="A92">
        <v>91</v>
      </c>
      <c r="B92" t="str">
        <f>orig_e_resources_table!B92</f>
        <v>Funk &amp;amp; Wagnalls New World Encyclopedia</v>
      </c>
      <c r="C92" t="str">
        <f>IF(orig_e_resources_table!C92="","",orig_e_resources_table!C92)</f>
        <v/>
      </c>
      <c r="D92" t="str">
        <f>orig_e_resources_table!D92</f>
        <v>http://search.EBSCOhost.com/login.asp?profile=web&amp;defaultdb=funk</v>
      </c>
      <c r="E92" t="str">
        <f>LOWER(IF(orig_e_resources_table!F92=1,TRUE,FALSE))</f>
        <v>true</v>
      </c>
      <c r="F92" t="str">
        <f>LOWER(IF(orig_e_resources_table!I92=1,TRUE,FALSE))</f>
        <v>true</v>
      </c>
      <c r="G92" t="str">
        <f>SUBSTITUTE(SUBSTITUTE(orig_e_resources_table!O92,CHAR(13),""),CHAR(10),"")</f>
        <v>Online version of the popular encyclopedia, featuring over 25,000 entries, covering a broad array of topics.</v>
      </c>
      <c r="I92" t="str">
        <f t="shared" si="1"/>
        <v>xxx</v>
      </c>
    </row>
    <row r="93" spans="1:9" x14ac:dyDescent="0.25">
      <c r="A93">
        <v>92</v>
      </c>
      <c r="B93" t="str">
        <f>orig_e_resources_table!B93</f>
        <v>GenBank</v>
      </c>
      <c r="C93" t="str">
        <f>IF(orig_e_resources_table!C93="","",orig_e_resources_table!C93)</f>
        <v/>
      </c>
      <c r="D93" t="str">
        <f>orig_e_resources_table!D93</f>
        <v>http://www.ncbi.nlm.nih.gov/Genbank/</v>
      </c>
      <c r="E93" t="str">
        <f>LOWER(IF(orig_e_resources_table!F93=1,TRUE,FALSE))</f>
        <v>true</v>
      </c>
      <c r="F93" t="str">
        <f>LOWER(IF(orig_e_resources_table!I93=1,TRUE,FALSE))</f>
        <v>false</v>
      </c>
      <c r="G93" t="str">
        <f>SUBSTITUTE(SUBSTITUTE(orig_e_resources_table!O93,CHAR(13),""),CHAR(10),"")</f>
        <v>GenBank is the National Institute of Health (NIH) genetic sequence database, an annotated collection of all publicly available DNA sequences.</v>
      </c>
      <c r="I93" t="str">
        <f t="shared" si="1"/>
        <v>xxx</v>
      </c>
    </row>
    <row r="94" spans="1:9" x14ac:dyDescent="0.25">
      <c r="A94">
        <v>93</v>
      </c>
      <c r="B94" t="str">
        <f>orig_e_resources_table!B94</f>
        <v>Genetics Abstracts</v>
      </c>
      <c r="C94" t="str">
        <f>IF(orig_e_resources_table!C94="","",orig_e_resources_table!C94)</f>
        <v/>
      </c>
      <c r="D94" t="str">
        <f>orig_e_resources_table!D94</f>
        <v>http://www.csa.com/htbin/dbrng.cgi?username=paulg&amp;access=paulg20&amp;db=genetics-set-c</v>
      </c>
      <c r="E94" t="str">
        <f>LOWER(IF(orig_e_resources_table!F94=1,TRUE,FALSE))</f>
        <v>false</v>
      </c>
      <c r="F94" t="str">
        <f>LOWER(IF(orig_e_resources_table!I94=1,TRUE,FALSE))</f>
        <v>true</v>
      </c>
      <c r="G94" t="str">
        <f>SUBSTITUTE(SUBSTITUTE(orig_e_resources_table!O94,CHAR(13),""),CHAR(10),"")</f>
        <v>Genetics Abstracts is a database of worldwide literature covering topics such as molecular genetics, DNA, differentiation and development, RNA, protein synthesis, ribosomes, nuclear proteins and chromatin, enzymes, gene regulation, and recombinant DNA technology.</v>
      </c>
      <c r="I94" t="str">
        <f t="shared" si="1"/>
        <v/>
      </c>
    </row>
    <row r="95" spans="1:9" x14ac:dyDescent="0.25">
      <c r="A95">
        <v>94</v>
      </c>
      <c r="B95" t="str">
        <f>orig_e_resources_table!B95</f>
        <v>Glossary of Genetic Terms</v>
      </c>
      <c r="C95" t="str">
        <f>IF(orig_e_resources_table!C95="","",orig_e_resources_table!C95)</f>
        <v/>
      </c>
      <c r="D95" t="str">
        <f>orig_e_resources_table!D95</f>
        <v>http://www.genome.gov/glossary.cfm</v>
      </c>
      <c r="E95" t="str">
        <f>LOWER(IF(orig_e_resources_table!F95=1,TRUE,FALSE))</f>
        <v>true</v>
      </c>
      <c r="F95" t="str">
        <f>LOWER(IF(orig_e_resources_table!I95=1,TRUE,FALSE))</f>
        <v>false</v>
      </c>
      <c r="G95" t="str">
        <f>SUBSTITUTE(SUBSTITUTE(orig_e_resources_table!O95,CHAR(13),""),CHAR(10),"")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v>
      </c>
      <c r="I95" t="str">
        <f t="shared" si="1"/>
        <v>xxx</v>
      </c>
    </row>
    <row r="96" spans="1:9" x14ac:dyDescent="0.25">
      <c r="A96">
        <v>95</v>
      </c>
      <c r="B96" t="str">
        <f>orig_e_resources_table!B96</f>
        <v>Google Patent Search</v>
      </c>
      <c r="C96" t="str">
        <f>IF(orig_e_resources_table!C96="","",orig_e_resources_table!C96)</f>
        <v/>
      </c>
      <c r="D96" t="str">
        <f>orig_e_resources_table!D96</f>
        <v>http://www.google.com/patents</v>
      </c>
      <c r="E96" t="str">
        <f>LOWER(IF(orig_e_resources_table!F96=1,TRUE,FALSE))</f>
        <v>true</v>
      </c>
      <c r="F96" t="str">
        <f>LOWER(IF(orig_e_resources_table!I96=1,TRUE,FALSE))</f>
        <v>false</v>
      </c>
      <c r="G96" t="str">
        <f>SUBSTITUTE(SUBSTITUTE(orig_e_resources_table!O96,CHAR(13),""),CHAR(10),"")</f>
        <v>Google Patent Search offers full-text searching of the entire U.S. patent corpus.</v>
      </c>
      <c r="I96" t="str">
        <f t="shared" si="1"/>
        <v>xxx</v>
      </c>
    </row>
    <row r="97" spans="1:9" x14ac:dyDescent="0.25">
      <c r="A97">
        <v>96</v>
      </c>
      <c r="B97" t="str">
        <f>orig_e_resources_table!B97</f>
        <v>Google Scholar</v>
      </c>
      <c r="C97" t="str">
        <f>IF(orig_e_resources_table!C97="","",orig_e_resources_table!C97)</f>
        <v/>
      </c>
      <c r="D97" t="str">
        <f>orig_e_resources_table!D97</f>
        <v>http://scholar.google.com</v>
      </c>
      <c r="E97" t="str">
        <f>LOWER(IF(orig_e_resources_table!F97=1,TRUE,FALSE))</f>
        <v>true</v>
      </c>
      <c r="F97" t="str">
        <f>LOWER(IF(orig_e_resources_table!I97=1,TRUE,FALSE))</f>
        <v>true</v>
      </c>
      <c r="G97" t="str">
        <f>SUBSTITUTE(SUBSTITUTE(orig_e_resources_table!O97,CHAR(13),""),CHAR(10),"")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c r="I97" t="str">
        <f t="shared" si="1"/>
        <v>xxx</v>
      </c>
    </row>
    <row r="98" spans="1:9" x14ac:dyDescent="0.25">
      <c r="A98">
        <v>97</v>
      </c>
      <c r="B98" t="str">
        <f>orig_e_resources_table!B98</f>
        <v>Government Sites from Bernan</v>
      </c>
      <c r="C98" t="str">
        <f>IF(orig_e_resources_table!C98="","",orig_e_resources_table!C98)</f>
        <v/>
      </c>
      <c r="D98" t="str">
        <f>orig_e_resources_table!D98</f>
        <v>http://gii.bernan.com/</v>
      </c>
      <c r="E98" t="str">
        <f>LOWER(IF(orig_e_resources_table!F98=1,TRUE,FALSE))</f>
        <v>false</v>
      </c>
      <c r="F98" t="str">
        <f>LOWER(IF(orig_e_resources_table!I98=1,TRUE,FALSE))</f>
        <v>true</v>
      </c>
      <c r="G98" t="str">
        <f>SUBSTITUTE(SUBSTITUTE(orig_e_resources_table!O98,CHAR(13),""),CHAR(10),"")</f>
        <v/>
      </c>
      <c r="I98" t="str">
        <f t="shared" si="1"/>
        <v/>
      </c>
    </row>
    <row r="99" spans="1:9" x14ac:dyDescent="0.25">
      <c r="A99">
        <v>98</v>
      </c>
      <c r="B99" t="str">
        <f>orig_e_resources_table!B99</f>
        <v>GPO</v>
      </c>
      <c r="C99" t="str">
        <f>IF(orig_e_resources_table!C99="","",orig_e_resources_table!C99)</f>
        <v>U.S. Government Printing Office</v>
      </c>
      <c r="D99" t="str">
        <f>orig_e_resources_table!D99</f>
        <v>http://newfirstsearch.oclc.org/dbname=GPO;FSIP</v>
      </c>
      <c r="E99" t="str">
        <f>LOWER(IF(orig_e_resources_table!F99=1,TRUE,FALSE))</f>
        <v>true</v>
      </c>
      <c r="F99" t="str">
        <f>LOWER(IF(orig_e_resources_table!I99=1,TRUE,FALSE))</f>
        <v>true</v>
      </c>
      <c r="G99" t="str">
        <f>SUBSTITUTE(SUBSTITUTE(orig_e_resources_table!O99,CHAR(13),""),CHAR(10),"")</f>
        <v>This database of government publications covers all types of U.S. government documents, including Congressional reports, hearings, debates, and records; judiciary materials; and documents issued by executive departments (Defense, State, Labor, Office of the President, etc.).</v>
      </c>
      <c r="I99" t="str">
        <f t="shared" si="1"/>
        <v>xxx</v>
      </c>
    </row>
    <row r="100" spans="1:9" x14ac:dyDescent="0.25">
      <c r="A100">
        <v>99</v>
      </c>
      <c r="B100" t="str">
        <f>orig_e_resources_table!B100</f>
        <v>GreenFILE</v>
      </c>
      <c r="C100" t="str">
        <f>IF(orig_e_resources_table!C100="","",orig_e_resources_table!C100)</f>
        <v/>
      </c>
      <c r="D100" t="str">
        <f>orig_e_resources_table!D100</f>
        <v>http://search.EBSCOhost.com/login.asp?profile=web&amp;defaultdb=8gh</v>
      </c>
      <c r="E100" t="str">
        <f>LOWER(IF(orig_e_resources_table!F100=1,TRUE,FALSE))</f>
        <v>true</v>
      </c>
      <c r="F100" t="str">
        <f>LOWER(IF(orig_e_resources_table!I100=1,TRUE,FALSE))</f>
        <v>true</v>
      </c>
      <c r="G100" t="str">
        <f>SUBSTITUTE(SUBSTITUTE(orig_e_resources_table!O100,CHAR(13),""),CHAR(10),"")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c r="I100" t="str">
        <f t="shared" si="1"/>
        <v>xxx</v>
      </c>
    </row>
    <row r="101" spans="1:9" x14ac:dyDescent="0.25">
      <c r="A101">
        <v>100</v>
      </c>
      <c r="B101" t="str">
        <f>orig_e_resources_table!B101</f>
        <v>Harper's Weekly</v>
      </c>
      <c r="C101" t="str">
        <f>IF(orig_e_resources_table!C101="","",orig_e_resources_table!C101)</f>
        <v/>
      </c>
      <c r="D101" t="str">
        <f>orig_e_resources_table!D101</f>
        <v>http://app.harpweek.com/</v>
      </c>
      <c r="E101" t="str">
        <f>LOWER(IF(orig_e_resources_table!F101=1,TRUE,FALSE))</f>
        <v>true</v>
      </c>
      <c r="F101" t="str">
        <f>LOWER(IF(orig_e_resources_table!I101=1,TRUE,FALSE))</f>
        <v>true</v>
      </c>
      <c r="G101" t="str">
        <f>SUBSTITUTE(SUBSTITUTE(orig_e_resources_table!O101,CHAR(13),""),CHAR(10),"")</f>
        <v>Online archive of issues of Harper's Weekly, one of America's leading 19th-century illustrated newspapers. Access is available from 1857-1912.</v>
      </c>
      <c r="I101" t="str">
        <f t="shared" si="1"/>
        <v>xxx</v>
      </c>
    </row>
    <row r="102" spans="1:9" x14ac:dyDescent="0.25">
      <c r="A102">
        <v>101</v>
      </c>
      <c r="B102" t="str">
        <f>orig_e_resources_table!B102</f>
        <v>Health and Safety Science Abstracts</v>
      </c>
      <c r="C102" t="str">
        <f>IF(orig_e_resources_table!C102="","",orig_e_resources_table!C102)</f>
        <v/>
      </c>
      <c r="D102" t="str">
        <f>orig_e_resources_table!D102</f>
        <v>http://www.csa.com/htbin/dbrng.cgi?username=paulg&amp;access=paulg20&amp;db=health-safety-set-c</v>
      </c>
      <c r="E102" t="str">
        <f>LOWER(IF(orig_e_resources_table!F102=1,TRUE,FALSE))</f>
        <v>false</v>
      </c>
      <c r="F102" t="str">
        <f>LOWER(IF(orig_e_resources_table!I102=1,TRUE,FALSE))</f>
        <v>true</v>
      </c>
      <c r="G102" t="str">
        <f>SUBSTITUTE(SUBSTITUTE(orig_e_resources_table!O102,CHAR(13),""),CHAR(10),"")</f>
        <v>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v>
      </c>
      <c r="I102" t="str">
        <f t="shared" si="1"/>
        <v/>
      </c>
    </row>
    <row r="103" spans="1:9" x14ac:dyDescent="0.25">
      <c r="A103">
        <v>102</v>
      </c>
      <c r="B103" t="str">
        <f>orig_e_resources_table!B103</f>
        <v>Health Source - Consumer Edition</v>
      </c>
      <c r="C103" t="str">
        <f>IF(orig_e_resources_table!C103="","",orig_e_resources_table!C103)</f>
        <v/>
      </c>
      <c r="D103" t="str">
        <f>orig_e_resources_table!D103</f>
        <v>http://search.EBSCOhost.com/login.asp?profile=web&amp;defaultdb=hxh</v>
      </c>
      <c r="E103" t="str">
        <f>LOWER(IF(orig_e_resources_table!F103=1,TRUE,FALSE))</f>
        <v>true</v>
      </c>
      <c r="F103" t="str">
        <f>LOWER(IF(orig_e_resources_table!I103=1,TRUE,FALSE))</f>
        <v>true</v>
      </c>
      <c r="G103" t="str">
        <f>SUBSTITUTE(SUBSTITUTE(orig_e_resources_table!O103,CHAR(13),""),CHAR(10),"")</f>
        <v>Database of consumer health information, providing information on many health topics including the medical sciences, food sciences and nutrition, childcare, sports medicine and general health. Provides access to nearly 80 full text, consumer health magazines.</v>
      </c>
      <c r="I103" t="str">
        <f t="shared" si="1"/>
        <v>xxx</v>
      </c>
    </row>
    <row r="104" spans="1:9" x14ac:dyDescent="0.25">
      <c r="A104">
        <v>103</v>
      </c>
      <c r="B104" t="str">
        <f>orig_e_resources_table!B104</f>
        <v>Health Source - Nursing / Academic Edition</v>
      </c>
      <c r="C104" t="str">
        <f>IF(orig_e_resources_table!C104="","",orig_e_resources_table!C104)</f>
        <v/>
      </c>
      <c r="D104" t="str">
        <f>orig_e_resources_table!D104</f>
        <v>http://search.EBSCOhost.com/login.asp?profile=web&amp;defaultdb=hch</v>
      </c>
      <c r="E104" t="str">
        <f>LOWER(IF(orig_e_resources_table!F104=1,TRUE,FALSE))</f>
        <v>true</v>
      </c>
      <c r="F104" t="str">
        <f>LOWER(IF(orig_e_resources_table!I104=1,TRUE,FALSE))</f>
        <v>true</v>
      </c>
      <c r="G104" t="str">
        <f>SUBSTITUTE(SUBSTITUTE(orig_e_resources_table!O104,CHAR(13),""),CHAR(10),"")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c r="I104" t="str">
        <f t="shared" si="1"/>
        <v>xxx</v>
      </c>
    </row>
    <row r="105" spans="1:9" x14ac:dyDescent="0.25">
      <c r="A105">
        <v>104</v>
      </c>
      <c r="B105" t="str">
        <f>orig_e_resources_table!B105</f>
        <v>History of Science, Technology, and Medicine</v>
      </c>
      <c r="C105" t="str">
        <f>IF(orig_e_resources_table!C105="","",orig_e_resources_table!C105)</f>
        <v/>
      </c>
      <c r="D105" t="str">
        <f>orig_e_resources_table!D105</f>
        <v>http://search.EBSCOhost.com/login.asp?profile=web&amp;defaultdb=htm</v>
      </c>
      <c r="E105" t="str">
        <f>LOWER(IF(orig_e_resources_table!F105=1,TRUE,FALSE))</f>
        <v>true</v>
      </c>
      <c r="F105" t="str">
        <f>LOWER(IF(orig_e_resources_table!I105=1,TRUE,FALSE))</f>
        <v>true</v>
      </c>
      <c r="G105" t="str">
        <f>SUBSTITUTE(SUBSTITUTE(orig_e_resources_table!O105,CHAR(13),""),CHAR(10),"")</f>
        <v>This database indexes journal articles, conference proceedings, books, book reviews, and dissertations in the history of science, technology, and medicine and allied historical fields.</v>
      </c>
      <c r="I105" t="str">
        <f t="shared" si="1"/>
        <v>xxx</v>
      </c>
    </row>
    <row r="106" spans="1:9" x14ac:dyDescent="0.25">
      <c r="A106">
        <v>105</v>
      </c>
      <c r="B106" t="str">
        <f>orig_e_resources_table!B106</f>
        <v>Human Genome Abstracts</v>
      </c>
      <c r="C106" t="str">
        <f>IF(orig_e_resources_table!C106="","",orig_e_resources_table!C106)</f>
        <v/>
      </c>
      <c r="D106" t="str">
        <f>orig_e_resources_table!D106</f>
        <v>http://www.csa.com/htbin/dbrng.cgi?username=paulg&amp;access=paulg20&amp;db=human-genome-set-c</v>
      </c>
      <c r="E106" t="str">
        <f>LOWER(IF(orig_e_resources_table!F106=1,TRUE,FALSE))</f>
        <v>false</v>
      </c>
      <c r="F106" t="str">
        <f>LOWER(IF(orig_e_resources_table!I106=1,TRUE,FALSE))</f>
        <v>true</v>
      </c>
      <c r="G106" t="str">
        <f>SUBSTITUTE(SUBSTITUTE(orig_e_resources_table!O106,CHAR(13),""),CHAR(10),"")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v>
      </c>
      <c r="I106" t="str">
        <f t="shared" si="1"/>
        <v/>
      </c>
    </row>
    <row r="107" spans="1:9" x14ac:dyDescent="0.25">
      <c r="A107">
        <v>106</v>
      </c>
      <c r="B107" t="str">
        <f>orig_e_resources_table!B107</f>
        <v>Human Population &amp; Natural Resource Management</v>
      </c>
      <c r="C107" t="str">
        <f>IF(orig_e_resources_table!C107="","",orig_e_resources_table!C107)</f>
        <v/>
      </c>
      <c r="D107" t="str">
        <f>orig_e_resources_table!D107</f>
        <v>http://www.csa.com/htbin/dbrng.cgi?username=paulg&amp;access=paulg20&amp;db=humanpop-set-c</v>
      </c>
      <c r="E107" t="str">
        <f>LOWER(IF(orig_e_resources_table!F107=1,TRUE,FALSE))</f>
        <v>false</v>
      </c>
      <c r="F107" t="str">
        <f>LOWER(IF(orig_e_resources_table!I107=1,TRUE,FALSE))</f>
        <v>true</v>
      </c>
      <c r="G107" t="str">
        <f>SUBSTITUTE(SUBSTITUTE(orig_e_resources_table!O107,CHAR(13),""),CHAR(10),"")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c r="I107" t="str">
        <f t="shared" si="1"/>
        <v/>
      </c>
    </row>
    <row r="108" spans="1:9" x14ac:dyDescent="0.25">
      <c r="A108">
        <v>107</v>
      </c>
      <c r="B108" t="str">
        <f>orig_e_resources_table!B108</f>
        <v>IEEE Xplore</v>
      </c>
      <c r="C108" t="str">
        <f>IF(orig_e_resources_table!C108="","",orig_e_resources_table!C108)</f>
        <v>Institute of Electrical and Electronics Engineers</v>
      </c>
      <c r="D108" t="str">
        <f>orig_e_resources_table!D108</f>
        <v>http://ieeexplore.ieee.org/</v>
      </c>
      <c r="E108" t="str">
        <f>LOWER(IF(orig_e_resources_table!F108=1,TRUE,FALSE))</f>
        <v>true</v>
      </c>
      <c r="F108" t="str">
        <f>LOWER(IF(orig_e_resources_table!I108=1,TRUE,FALSE))</f>
        <v>true</v>
      </c>
      <c r="G108" t="str">
        <f>SUBSTITUTE(SUBSTITUTE(orig_e_resources_table!O108,CHAR(13),""),CHAR(10),"")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c r="I108" t="str">
        <f t="shared" si="1"/>
        <v>xxx</v>
      </c>
    </row>
    <row r="109" spans="1:9" x14ac:dyDescent="0.25">
      <c r="A109">
        <v>108</v>
      </c>
      <c r="B109" t="str">
        <f>orig_e_resources_table!B109</f>
        <v>I-Share Catalog</v>
      </c>
      <c r="C109" t="str">
        <f>IF(orig_e_resources_table!C109="","",orig_e_resources_table!C109)</f>
        <v/>
      </c>
      <c r="D109" t="str">
        <f>orig_e_resources_table!D109</f>
        <v>http://vufind.carli.illinois.edu/vf/</v>
      </c>
      <c r="E109" t="str">
        <f>LOWER(IF(orig_e_resources_table!F109=1,TRUE,FALSE))</f>
        <v>true</v>
      </c>
      <c r="F109" t="str">
        <f>LOWER(IF(orig_e_resources_table!I109=1,TRUE,FALSE))</f>
        <v>false</v>
      </c>
      <c r="G109" t="str">
        <f>SUBSTITUTE(SUBSTITUTE(orig_e_resources_table!O109,CHAR(13),""),CHAR(10),"")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c r="I109" t="str">
        <f t="shared" si="1"/>
        <v>xxx</v>
      </c>
    </row>
    <row r="110" spans="1:9" x14ac:dyDescent="0.25">
      <c r="A110">
        <v>109</v>
      </c>
      <c r="B110" t="str">
        <f>orig_e_resources_table!B110</f>
        <v>Tech News Collection</v>
      </c>
      <c r="C110" t="str">
        <f>IF(orig_e_resources_table!C110="","",orig_e_resources_table!C110)</f>
        <v/>
      </c>
      <c r="D110" t="str">
        <f>orig_e_resources_table!D110</f>
        <v>http://library.iit.edu/technews/</v>
      </c>
      <c r="E110" t="str">
        <f>LOWER(IF(orig_e_resources_table!F110=1,TRUE,FALSE))</f>
        <v>true</v>
      </c>
      <c r="F110" t="str">
        <f>LOWER(IF(orig_e_resources_table!I110=1,TRUE,FALSE))</f>
        <v>false</v>
      </c>
      <c r="G110" t="str">
        <f>SUBSTITUTE(SUBSTITUTE(orig_e_resources_table!O110,CHAR(13),""),CHAR(10),"")</f>
        <v>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v>
      </c>
      <c r="I110" t="str">
        <f t="shared" si="1"/>
        <v>xxx</v>
      </c>
    </row>
    <row r="111" spans="1:9" x14ac:dyDescent="0.25">
      <c r="A111">
        <v>110</v>
      </c>
      <c r="B111" t="str">
        <f>orig_e_resources_table!B111</f>
        <v>IIT Library Catalog</v>
      </c>
      <c r="C111" t="str">
        <f>IF(orig_e_resources_table!C111="","",orig_e_resources_table!C111)</f>
        <v/>
      </c>
      <c r="D111" t="str">
        <f>orig_e_resources_table!D111</f>
        <v>https://vufind.carli.illinois.edu/vf-iit/</v>
      </c>
      <c r="E111" t="str">
        <f>LOWER(IF(orig_e_resources_table!F111=1,TRUE,FALSE))</f>
        <v>true</v>
      </c>
      <c r="F111" t="str">
        <f>LOWER(IF(orig_e_resources_table!I111=1,TRUE,FALSE))</f>
        <v>false</v>
      </c>
      <c r="G111" t="str">
        <f>SUBSTITUTE(SUBSTITUTE(orig_e_resources_table!O111,CHAR(13),""),CHAR(10),"")</f>
        <v>Use the IIT Library Catalog to search for books, e-books, and print journals held by Paul V. Galvin Library and any of IIT's branch libraries. View your patron record at 'My Account' to see items checked out from IIT and I-Share libraries.</v>
      </c>
      <c r="I111" t="str">
        <f t="shared" si="1"/>
        <v>xxx</v>
      </c>
    </row>
    <row r="112" spans="1:9" x14ac:dyDescent="0.25">
      <c r="A112">
        <v>111</v>
      </c>
      <c r="B112" t="str">
        <f>orig_e_resources_table!B112</f>
        <v>Immunology Abstracts</v>
      </c>
      <c r="C112" t="str">
        <f>IF(orig_e_resources_table!C112="","",orig_e_resources_table!C112)</f>
        <v/>
      </c>
      <c r="D112" t="str">
        <f>orig_e_resources_table!D112</f>
        <v>http://www.csa.com/htbin/dbrng.cgi?username=paulg&amp;access=paulg20&amp;db=immunology-set-c</v>
      </c>
      <c r="E112" t="str">
        <f>LOWER(IF(orig_e_resources_table!F112=1,TRUE,FALSE))</f>
        <v>false</v>
      </c>
      <c r="F112" t="str">
        <f>LOWER(IF(orig_e_resources_table!I112=1,TRUE,FALSE))</f>
        <v>true</v>
      </c>
      <c r="G112" t="str">
        <f>SUBSTITUTE(SUBSTITUTE(orig_e_resources_table!O112,CHAR(13),""),CHAR(10),"")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c r="I112" t="str">
        <f t="shared" si="1"/>
        <v/>
      </c>
    </row>
    <row r="113" spans="1:9" x14ac:dyDescent="0.25">
      <c r="A113">
        <v>112</v>
      </c>
      <c r="B113" t="str">
        <f>orig_e_resources_table!B113</f>
        <v>Industrial and Applied Microbiology Abstracts (Microbiology A)</v>
      </c>
      <c r="C113" t="str">
        <f>IF(orig_e_resources_table!C113="","",orig_e_resources_table!C113)</f>
        <v/>
      </c>
      <c r="D113" t="str">
        <f>orig_e_resources_table!D113</f>
        <v>http://www.csa.com/htbin/dbrng.cgi?username=paulg&amp;access=paulg20&amp;db=microbiology-a-set-c</v>
      </c>
      <c r="E113" t="str">
        <f>LOWER(IF(orig_e_resources_table!F113=1,TRUE,FALSE))</f>
        <v>false</v>
      </c>
      <c r="F113" t="str">
        <f>LOWER(IF(orig_e_resources_table!I113=1,TRUE,FALSE))</f>
        <v>true</v>
      </c>
      <c r="G113" t="str">
        <f>SUBSTITUTE(SUBSTITUTE(orig_e_resources_table!O113,CHAR(13),""),CHAR(10),"")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c r="I113" t="str">
        <f t="shared" si="1"/>
        <v/>
      </c>
    </row>
    <row r="114" spans="1:9" x14ac:dyDescent="0.25">
      <c r="A114">
        <v>113</v>
      </c>
      <c r="B114" t="str">
        <f>orig_e_resources_table!B114</f>
        <v>Information Bridge</v>
      </c>
      <c r="C114" t="str">
        <f>IF(orig_e_resources_table!C114="","",orig_e_resources_table!C114)</f>
        <v/>
      </c>
      <c r="D114" t="str">
        <f>orig_e_resources_table!D114</f>
        <v>http://www.osti.gov/bridge/index.jsp</v>
      </c>
      <c r="E114" t="str">
        <f>LOWER(IF(orig_e_resources_table!F114=1,TRUE,FALSE))</f>
        <v>true</v>
      </c>
      <c r="F114" t="str">
        <f>LOWER(IF(orig_e_resources_table!I114=1,TRUE,FALSE))</f>
        <v>false</v>
      </c>
      <c r="G114" t="str">
        <f>SUBSTITUTE(SUBSTITUTE(orig_e_resources_table!O114,CHAR(13),""),CHAR(10),"")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c r="I114" t="str">
        <f t="shared" si="1"/>
        <v>xxx</v>
      </c>
    </row>
    <row r="115" spans="1:9" x14ac:dyDescent="0.25">
      <c r="A115">
        <v>114</v>
      </c>
      <c r="B115" t="str">
        <f>orig_e_resources_table!B115</f>
        <v>Information Please Almanac</v>
      </c>
      <c r="C115" t="str">
        <f>IF(orig_e_resources_table!C115="","",orig_e_resources_table!C115)</f>
        <v/>
      </c>
      <c r="D115" t="str">
        <f>orig_e_resources_table!D115</f>
        <v>http://www.infoplease.com/</v>
      </c>
      <c r="E115" t="str">
        <f>LOWER(IF(orig_e_resources_table!F115=1,TRUE,FALSE))</f>
        <v>true</v>
      </c>
      <c r="F115" t="str">
        <f>LOWER(IF(orig_e_resources_table!I115=1,TRUE,FALSE))</f>
        <v>false</v>
      </c>
      <c r="G115" t="str">
        <f>SUBSTITUTE(SUBSTITUTE(orig_e_resources_table!O115,CHAR(13),""),CHAR(10),"")</f>
        <v>Online version of the popular almanac. Information Please has been providing authoritative answers to all kinds of factual questions since 1938 -- first as a popular radio quiz show, then starting in 1947 as an annual almanac, and since 1998 on the Internet.</v>
      </c>
      <c r="I115" t="str">
        <f t="shared" si="1"/>
        <v>xxx</v>
      </c>
    </row>
    <row r="116" spans="1:9" x14ac:dyDescent="0.25">
      <c r="A116">
        <v>115</v>
      </c>
      <c r="B116" t="str">
        <f>orig_e_resources_table!B116</f>
        <v>Infotrac</v>
      </c>
      <c r="C116" t="str">
        <f>IF(orig_e_resources_table!C116="","",orig_e_resources_table!C116)</f>
        <v/>
      </c>
      <c r="D116" t="str">
        <f>orig_e_resources_table!D116</f>
        <v>http://infotrac.galegroup.com/itweb/chic40381</v>
      </c>
      <c r="E116" t="str">
        <f>LOWER(IF(orig_e_resources_table!F116=1,TRUE,FALSE))</f>
        <v>false</v>
      </c>
      <c r="F116" t="str">
        <f>LOWER(IF(orig_e_resources_table!I116=1,TRUE,FALSE))</f>
        <v>true</v>
      </c>
      <c r="G116" t="str">
        <f>SUBSTITUTE(SUBSTITUTE(orig_e_resources_table!O116,CHAR(13),""),CHAR(10),"")</f>
        <v/>
      </c>
      <c r="I116" t="str">
        <f t="shared" si="1"/>
        <v/>
      </c>
    </row>
    <row r="117" spans="1:9" x14ac:dyDescent="0.25">
      <c r="A117">
        <v>116</v>
      </c>
      <c r="B117" t="str">
        <f>orig_e_resources_table!B117</f>
        <v>Inspec</v>
      </c>
      <c r="C117" t="str">
        <f>IF(orig_e_resources_table!C117="","",orig_e_resources_table!C117)</f>
        <v/>
      </c>
      <c r="D117" t="str">
        <f>orig_e_resources_table!D117</f>
        <v>http://apps.webofknowledge.com/INSPEC_GeneralSearch_input.do?product=INSPEC&amp;search_mode=GeneralSearch</v>
      </c>
      <c r="E117" t="str">
        <f>LOWER(IF(orig_e_resources_table!F117=1,TRUE,FALSE))</f>
        <v>true</v>
      </c>
      <c r="F117" t="str">
        <f>LOWER(IF(orig_e_resources_table!I117=1,TRUE,FALSE))</f>
        <v>true</v>
      </c>
      <c r="G117" t="str">
        <f>SUBSTITUTE(SUBSTITUTE(orig_e_resources_table!O117,CHAR(13),""),CHAR(10),"")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c r="I117" t="str">
        <f t="shared" si="1"/>
        <v>xxx</v>
      </c>
    </row>
    <row r="118" spans="1:9" x14ac:dyDescent="0.25">
      <c r="A118">
        <v>117</v>
      </c>
      <c r="B118" t="str">
        <f>orig_e_resources_table!B118</f>
        <v>Internet Public Library Online</v>
      </c>
      <c r="C118" t="str">
        <f>IF(orig_e_resources_table!C118="","",orig_e_resources_table!C118)</f>
        <v/>
      </c>
      <c r="D118" t="str">
        <f>orig_e_resources_table!D118</f>
        <v>http://www.ipl.org/div/subject/browse/hum60.60.00/</v>
      </c>
      <c r="E118" t="str">
        <f>LOWER(IF(orig_e_resources_table!F118=1,TRUE,FALSE))</f>
        <v>true</v>
      </c>
      <c r="F118" t="str">
        <f>LOWER(IF(orig_e_resources_table!I118=1,TRUE,FALSE))</f>
        <v>false</v>
      </c>
      <c r="G118" t="str">
        <f>SUBSTITUTE(SUBSTITUTE(orig_e_resources_table!O118,CHAR(13),""),CHAR(10),"")</f>
        <v>A comprehensive directory of web sites covering all academic subject areas. Provides links to many online reference sources, including dictionaries, encyclopedias, biographies, census data, and style/writing guides. Many e-book collections are covered as well.</v>
      </c>
      <c r="I118" t="str">
        <f t="shared" si="1"/>
        <v>xxx</v>
      </c>
    </row>
    <row r="119" spans="1:9" x14ac:dyDescent="0.25">
      <c r="A119">
        <v>118</v>
      </c>
      <c r="B119" t="str">
        <f>orig_e_resources_table!B119</f>
        <v>Investext</v>
      </c>
      <c r="C119" t="str">
        <f>IF(orig_e_resources_table!C119="","",orig_e_resources_table!C119)</f>
        <v/>
      </c>
      <c r="D119" t="str">
        <f>orig_e_resources_table!D119</f>
        <v>http://infotrac.galegroup.com/itw/infomark/0/1/1/purl=rc6_RBW?sw_aep=chic40381</v>
      </c>
      <c r="E119" t="str">
        <f>LOWER(IF(orig_e_resources_table!F119=1,TRUE,FALSE))</f>
        <v>false</v>
      </c>
      <c r="F119" t="str">
        <f>LOWER(IF(orig_e_resources_table!I119=1,TRUE,FALSE))</f>
        <v>true</v>
      </c>
      <c r="G119" t="str">
        <f>SUBSTITUTE(SUBSTITUTE(orig_e_resources_table!O119,CHAR(13),""),CHAR(10),"")</f>
        <v/>
      </c>
      <c r="I119" t="str">
        <f t="shared" si="1"/>
        <v/>
      </c>
    </row>
    <row r="120" spans="1:9" x14ac:dyDescent="0.25">
      <c r="A120">
        <v>119</v>
      </c>
      <c r="B120" t="str">
        <f>orig_e_resources_table!B120</f>
        <v>IOP</v>
      </c>
      <c r="C120" t="str">
        <f>IF(orig_e_resources_table!C120="","",orig_e_resources_table!C120)</f>
        <v>Institute of Physics Journals</v>
      </c>
      <c r="D120" t="str">
        <f>orig_e_resources_table!D120</f>
        <v>http://iopscience.iop.org</v>
      </c>
      <c r="E120" t="str">
        <f>LOWER(IF(orig_e_resources_table!F120=1,TRUE,FALSE))</f>
        <v>true</v>
      </c>
      <c r="F120" t="str">
        <f>LOWER(IF(orig_e_resources_table!I120=1,TRUE,FALSE))</f>
        <v>true</v>
      </c>
      <c r="G120" t="str">
        <f>SUBSTITUTE(SUBSTITUTE(orig_e_resources_table!O120,CHAR(13),""),CHAR(10),"")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c r="I120" t="str">
        <f t="shared" si="1"/>
        <v>xxx</v>
      </c>
    </row>
    <row r="121" spans="1:9" x14ac:dyDescent="0.25">
      <c r="A121">
        <v>120</v>
      </c>
      <c r="B121" t="str">
        <f>orig_e_resources_table!B121</f>
        <v>Grant Forward</v>
      </c>
      <c r="C121" t="str">
        <f>IF(orig_e_resources_table!C121="","",orig_e_resources_table!C121)</f>
        <v>Illinois Researcher Information Service</v>
      </c>
      <c r="D121" t="str">
        <f>orig_e_resources_table!D121</f>
        <v>http://www.grantforward.com</v>
      </c>
      <c r="E121" t="str">
        <f>LOWER(IF(orig_e_resources_table!F121=1,TRUE,FALSE))</f>
        <v>true</v>
      </c>
      <c r="F121" t="str">
        <f>LOWER(IF(orig_e_resources_table!I121=1,TRUE,FALSE))</f>
        <v>false</v>
      </c>
      <c r="G121" t="str">
        <f>SUBSTITUTE(SUBSTITUTE(orig_e_resources_table!O121,CHAR(13),""),CHAR(10),"")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c r="I121" t="str">
        <f t="shared" si="1"/>
        <v>xxx</v>
      </c>
    </row>
    <row r="122" spans="1:9" x14ac:dyDescent="0.25">
      <c r="A122">
        <v>121</v>
      </c>
      <c r="B122" t="str">
        <f>orig_e_resources_table!B122</f>
        <v>JSTOR</v>
      </c>
      <c r="C122" t="str">
        <f>IF(orig_e_resources_table!C122="","",orig_e_resources_table!C122)</f>
        <v/>
      </c>
      <c r="D122" t="str">
        <f>orig_e_resources_table!D122</f>
        <v>http://www.jstor.org</v>
      </c>
      <c r="E122" t="str">
        <f>LOWER(IF(orig_e_resources_table!F122=1,TRUE,FALSE))</f>
        <v>true</v>
      </c>
      <c r="F122" t="str">
        <f>LOWER(IF(orig_e_resources_table!I122=1,TRUE,FALSE))</f>
        <v>true</v>
      </c>
      <c r="G122" t="str">
        <f>SUBSTITUTE(SUBSTITUTE(orig_e_resources_table!O122,CHAR(13),""),CHAR(10),"")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c r="I122" t="str">
        <f t="shared" si="1"/>
        <v>xxx</v>
      </c>
    </row>
    <row r="123" spans="1:9" x14ac:dyDescent="0.25">
      <c r="A123">
        <v>122</v>
      </c>
      <c r="B123" t="str">
        <f>orig_e_resources_table!B123</f>
        <v>LexisNexis Academic Universe</v>
      </c>
      <c r="C123" t="str">
        <f>IF(orig_e_resources_table!C123="","",orig_e_resources_table!C123)</f>
        <v/>
      </c>
      <c r="D123" t="str">
        <f>orig_e_resources_table!D123</f>
        <v>http://www.lexisnexis.com/us/lnacademic</v>
      </c>
      <c r="E123" t="str">
        <f>LOWER(IF(orig_e_resources_table!F123=1,TRUE,FALSE))</f>
        <v>true</v>
      </c>
      <c r="F123" t="str">
        <f>LOWER(IF(orig_e_resources_table!I123=1,TRUE,FALSE))</f>
        <v>true</v>
      </c>
      <c r="G123" t="str">
        <f>SUBSTITUTE(SUBSTITUTE(orig_e_resources_table!O123,CHAR(13),""),CHAR(10),"")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c r="I123" t="str">
        <f t="shared" si="1"/>
        <v>xxx</v>
      </c>
    </row>
    <row r="124" spans="1:9" x14ac:dyDescent="0.25">
      <c r="A124">
        <v>123</v>
      </c>
      <c r="B124" t="str">
        <f>orig_e_resources_table!B124</f>
        <v>Liebert Online</v>
      </c>
      <c r="C124" t="str">
        <f>IF(orig_e_resources_table!C124="","",orig_e_resources_table!C124)</f>
        <v/>
      </c>
      <c r="D124" t="str">
        <f>orig_e_resources_table!D124</f>
        <v>http://www.liebertonline.com/</v>
      </c>
      <c r="E124" t="str">
        <f>LOWER(IF(orig_e_resources_table!F124=1,TRUE,FALSE))</f>
        <v>true</v>
      </c>
      <c r="F124" t="str">
        <f>LOWER(IF(orig_e_resources_table!I124=1,TRUE,FALSE))</f>
        <v>true</v>
      </c>
      <c r="G124" t="str">
        <f>SUBSTITUTE(SUBSTITUTE(orig_e_resources_table!O124,CHAR(13),""),CHAR(10),"")</f>
        <v>Liebert Online provides electronic access to peer-reviewed journals published by Mary Ann Liebert, Inc. Includes over 30,000 papers from more than 60 journals, all full-text searchable and linked to external bibliographic databases up to 2009.</v>
      </c>
      <c r="I124" t="str">
        <f t="shared" si="1"/>
        <v>xxx</v>
      </c>
    </row>
    <row r="125" spans="1:9" x14ac:dyDescent="0.25">
      <c r="A125">
        <v>124</v>
      </c>
      <c r="B125" t="str">
        <f>orig_e_resources_table!B125</f>
        <v>LISTA</v>
      </c>
      <c r="C125" t="str">
        <f>IF(orig_e_resources_table!C125="","",orig_e_resources_table!C125)</f>
        <v>Library, Information Science &amp;amp; Technology Abstracts</v>
      </c>
      <c r="D125" t="str">
        <f>orig_e_resources_table!D125</f>
        <v>http://search.EBSCOhost.com/login.asp?profile=web&amp;defaultdb=lxh</v>
      </c>
      <c r="E125" t="str">
        <f>LOWER(IF(orig_e_resources_table!F125=1,TRUE,FALSE))</f>
        <v>true</v>
      </c>
      <c r="F125" t="str">
        <f>LOWER(IF(orig_e_resources_table!I125=1,TRUE,FALSE))</f>
        <v>true</v>
      </c>
      <c r="G125" t="str">
        <f>SUBSTITUTE(SUBSTITUTE(orig_e_resources_table!O125,CHAR(13),""),CHAR(10),"")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c r="I125" t="str">
        <f t="shared" si="1"/>
        <v>xxx</v>
      </c>
    </row>
    <row r="126" spans="1:9" x14ac:dyDescent="0.25">
      <c r="A126">
        <v>125</v>
      </c>
      <c r="B126" t="str">
        <f>orig_e_resources_table!B126</f>
        <v>MADCAD</v>
      </c>
      <c r="C126" t="str">
        <f>IF(orig_e_resources_table!C126="","",orig_e_resources_table!C126)</f>
        <v/>
      </c>
      <c r="D126" t="str">
        <f>orig_e_resources_table!D126</f>
        <v>http://www.madcad.com/madcad/login.php</v>
      </c>
      <c r="E126" t="str">
        <f>LOWER(IF(orig_e_resources_table!F126=1,TRUE,FALSE))</f>
        <v>true</v>
      </c>
      <c r="F126" t="str">
        <f>LOWER(IF(orig_e_resources_table!I126=1,TRUE,FALSE))</f>
        <v>true</v>
      </c>
      <c r="G126" t="str">
        <f>SUBSTITUTE(SUBSTITUTE(orig_e_resources_table!O126,CHAR(13),""),CHAR(10),"")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c r="I126" t="str">
        <f t="shared" si="1"/>
        <v>xxx</v>
      </c>
    </row>
    <row r="127" spans="1:9" x14ac:dyDescent="0.25">
      <c r="A127">
        <v>126</v>
      </c>
      <c r="B127" t="str">
        <f>orig_e_resources_table!B127</f>
        <v>Making of Modern Law: Legal Treatises 1800-1926</v>
      </c>
      <c r="C127" t="str">
        <f>IF(orig_e_resources_table!C127="","",orig_e_resources_table!C127)</f>
        <v/>
      </c>
      <c r="D127" t="str">
        <f>orig_e_resources_table!D127</f>
        <v>http://find.galegroup.com/menu/start?userGroupName=chic40381&amp;prod=MOML</v>
      </c>
      <c r="E127" t="str">
        <f>LOWER(IF(orig_e_resources_table!F127=1,TRUE,FALSE))</f>
        <v>true</v>
      </c>
      <c r="F127" t="str">
        <f>LOWER(IF(orig_e_resources_table!I127=1,TRUE,FALSE))</f>
        <v>true</v>
      </c>
      <c r="G127" t="str">
        <f>SUBSTITUTE(SUBSTITUTE(orig_e_resources_table!O127,CHAR(13),""),CHAR(10),"")</f>
        <v>Provides digital images on every page of 22,000 legal treatises on U.S. and British law published from 1800 through 1926. Full-text searching on more than 10 million pages is available.</v>
      </c>
      <c r="I127" t="str">
        <f t="shared" si="1"/>
        <v>xxx</v>
      </c>
    </row>
    <row r="128" spans="1:9" x14ac:dyDescent="0.25">
      <c r="A128">
        <v>127</v>
      </c>
      <c r="B128" t="str">
        <f>orig_e_resources_table!B128</f>
        <v>MarketResearch.com Academic</v>
      </c>
      <c r="C128" t="str">
        <f>IF(orig_e_resources_table!C128="","",orig_e_resources_table!C128)</f>
        <v/>
      </c>
      <c r="D128" t="str">
        <f>orig_e_resources_table!D128</f>
        <v>http://academic.marketresearch.com/index.asp?prid=920953817</v>
      </c>
      <c r="E128" t="str">
        <f>LOWER(IF(orig_e_resources_table!F128=1,TRUE,FALSE))</f>
        <v>true</v>
      </c>
      <c r="F128" t="str">
        <f>LOWER(IF(orig_e_resources_table!I128=1,TRUE,FALSE))</f>
        <v>true</v>
      </c>
      <c r="G128" t="str">
        <f>SUBSTITUTE(SUBSTITUTE(orig_e_resources_table!O128,CHAR(13),""),CHAR(10),"")</f>
        <v>Provides market intelligence on consumer demographics, market size and growth trends, industry forces and structure, product trends, competitive environment analysis, and company profiles.</v>
      </c>
      <c r="I128" t="str">
        <f t="shared" si="1"/>
        <v>xxx</v>
      </c>
    </row>
    <row r="129" spans="1:9" x14ac:dyDescent="0.25">
      <c r="A129">
        <v>128</v>
      </c>
      <c r="B129" t="str">
        <f>orig_e_resources_table!B129</f>
        <v>Materials Business File</v>
      </c>
      <c r="C129" t="str">
        <f>IF(orig_e_resources_table!C129="","",orig_e_resources_table!C129)</f>
        <v/>
      </c>
      <c r="D129" t="str">
        <f>orig_e_resources_table!D129</f>
        <v>http://www.csa.com/htbin/dbrng.cgi?username=paulg&amp;access=paulg20&amp;db=mbf-set-c</v>
      </c>
      <c r="E129" t="str">
        <f>LOWER(IF(orig_e_resources_table!F129=1,TRUE,FALSE))</f>
        <v>false</v>
      </c>
      <c r="F129" t="str">
        <f>LOWER(IF(orig_e_resources_table!I129=1,TRUE,FALSE))</f>
        <v>true</v>
      </c>
      <c r="G129" t="str">
        <f>SUBSTITUTE(SUBSTITUTE(orig_e_resources_table!O129,CHAR(13),""),CHAR(10),"")</f>
        <v>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v>
      </c>
      <c r="I129" t="str">
        <f t="shared" si="1"/>
        <v/>
      </c>
    </row>
    <row r="130" spans="1:9" x14ac:dyDescent="0.25">
      <c r="A130">
        <v>129</v>
      </c>
      <c r="B130" t="str">
        <f>orig_e_resources_table!B130</f>
        <v>MathSciNet</v>
      </c>
      <c r="C130" t="str">
        <f>IF(orig_e_resources_table!C130="","",orig_e_resources_table!C130)</f>
        <v/>
      </c>
      <c r="D130" t="str">
        <f>orig_e_resources_table!D130</f>
        <v>http://www.ams.org/mathscinet/search</v>
      </c>
      <c r="E130" t="str">
        <f>LOWER(IF(orig_e_resources_table!F130=1,TRUE,FALSE))</f>
        <v>true</v>
      </c>
      <c r="F130" t="str">
        <f>LOWER(IF(orig_e_resources_table!I130=1,TRUE,FALSE))</f>
        <v>true</v>
      </c>
      <c r="G130" t="str">
        <f>SUBSTITUTE(SUBSTITUTE(orig_e_resources_table!O130,CHAR(13),""),CHAR(10),"")</f>
        <v>Provided by the American Mathematical Society, MathSciNet is a searchable database of the world's scholarly mathematical literature since 1940, including reviews, abstracts and bibliographic information.</v>
      </c>
      <c r="I130" t="str">
        <f t="shared" si="1"/>
        <v>xxx</v>
      </c>
    </row>
    <row r="131" spans="1:9" x14ac:dyDescent="0.25">
      <c r="A131">
        <v>130</v>
      </c>
      <c r="B131" t="str">
        <f>orig_e_resources_table!B131</f>
        <v>Mechanical &amp;amp; Transportation Engineering Abstracts</v>
      </c>
      <c r="C131" t="str">
        <f>IF(orig_e_resources_table!C131="","",orig_e_resources_table!C131)</f>
        <v/>
      </c>
      <c r="D131" t="str">
        <f>orig_e_resources_table!D131</f>
        <v>http://www.csa.com/htbin/dbrng.cgi?username=paulg&amp;access=paulg20&amp;db=mechtrans-set-c</v>
      </c>
      <c r="E131" t="str">
        <f>LOWER(IF(orig_e_resources_table!F131=1,TRUE,FALSE))</f>
        <v>false</v>
      </c>
      <c r="F131" t="str">
        <f>LOWER(IF(orig_e_resources_table!I131=1,TRUE,FALSE))</f>
        <v>true</v>
      </c>
      <c r="G131" t="str">
        <f>SUBSTITUTE(SUBSTITUTE(orig_e_resources_table!O131,CHAR(13),""),CHAR(10),"")</f>
        <v>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v>
      </c>
      <c r="I131" t="str">
        <f t="shared" ref="I131:I194" si="2">IF(E131="true","xxx","")</f>
        <v/>
      </c>
    </row>
    <row r="132" spans="1:9" x14ac:dyDescent="0.25">
      <c r="A132">
        <v>131</v>
      </c>
      <c r="B132" t="str">
        <f>orig_e_resources_table!B132</f>
        <v>Medical and Pharmaceutical Biotechnology Abstracts</v>
      </c>
      <c r="C132" t="str">
        <f>IF(orig_e_resources_table!C132="","",orig_e_resources_table!C132)</f>
        <v/>
      </c>
      <c r="D132" t="str">
        <f>orig_e_resources_table!D132</f>
        <v>http://www.csa.com/htbin/dbrng.cgi?username=paulg&amp;access=paulg20&amp;db=medical-pharmaceutical-set-c</v>
      </c>
      <c r="E132" t="str">
        <f>LOWER(IF(orig_e_resources_table!F132=1,TRUE,FALSE))</f>
        <v>false</v>
      </c>
      <c r="F132" t="str">
        <f>LOWER(IF(orig_e_resources_table!I132=1,TRUE,FALSE))</f>
        <v>true</v>
      </c>
      <c r="G132" t="str">
        <f>SUBSTITUTE(SUBSTITUTE(orig_e_resources_table!O132,CHAR(13),""),CHAR(10),"")</f>
        <v/>
      </c>
      <c r="I132" t="str">
        <f t="shared" si="2"/>
        <v/>
      </c>
    </row>
    <row r="133" spans="1:9" x14ac:dyDescent="0.25">
      <c r="A133">
        <v>132</v>
      </c>
      <c r="B133" t="str">
        <f>orig_e_resources_table!B133</f>
        <v>MEDLINE</v>
      </c>
      <c r="C133" t="str">
        <f>IF(orig_e_resources_table!C133="","",orig_e_resources_table!C133)</f>
        <v/>
      </c>
      <c r="D133" t="str">
        <f>orig_e_resources_table!D133</f>
        <v>http://newfirstsearch.oclc.org/dbname=MEDLINE;FSIP</v>
      </c>
      <c r="E133" t="str">
        <f>LOWER(IF(orig_e_resources_table!F133=1,TRUE,FALSE))</f>
        <v>true</v>
      </c>
      <c r="F133" t="str">
        <f>LOWER(IF(orig_e_resources_table!I133=1,TRUE,FALSE))</f>
        <v>true</v>
      </c>
      <c r="G133" t="str">
        <f>SUBSTITUTE(SUBSTITUTE(orig_e_resources_table!O133,CHAR(13),""),CHAR(10),"")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c r="I133" t="str">
        <f t="shared" si="2"/>
        <v>xxx</v>
      </c>
    </row>
    <row r="134" spans="1:9" x14ac:dyDescent="0.25">
      <c r="A134">
        <v>133</v>
      </c>
      <c r="B134" t="str">
        <f>orig_e_resources_table!B134</f>
        <v>Medline Plus</v>
      </c>
      <c r="C134" t="str">
        <f>IF(orig_e_resources_table!C134="","",orig_e_resources_table!C134)</f>
        <v/>
      </c>
      <c r="D134" t="str">
        <f>orig_e_resources_table!D134</f>
        <v>http://medlineplus.gov/</v>
      </c>
      <c r="E134" t="str">
        <f>LOWER(IF(orig_e_resources_table!F134=1,TRUE,FALSE))</f>
        <v>true</v>
      </c>
      <c r="F134" t="str">
        <f>LOWER(IF(orig_e_resources_table!I134=1,TRUE,FALSE))</f>
        <v>false</v>
      </c>
      <c r="G134" t="str">
        <f>SUBSTITUTE(SUBSTITUTE(orig_e_resources_table!O134,CHAR(13),""),CHAR(10),"")</f>
        <v>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v>
      </c>
      <c r="I134" t="str">
        <f t="shared" si="2"/>
        <v>xxx</v>
      </c>
    </row>
    <row r="135" spans="1:9" x14ac:dyDescent="0.25">
      <c r="A135">
        <v>134</v>
      </c>
      <c r="B135" t="str">
        <f>orig_e_resources_table!B135</f>
        <v>Mental Measurements Yearbook / Tests in Print</v>
      </c>
      <c r="C135" t="str">
        <f>IF(orig_e_resources_table!C135="","",orig_e_resources_table!C135)</f>
        <v/>
      </c>
      <c r="D135" t="str">
        <f>orig_e_resources_table!D135</f>
        <v>http://search.EBSCOhost.com/login.asp?profile=ehost&amp;defaultdb=mmt</v>
      </c>
      <c r="E135" t="str">
        <f>LOWER(IF(orig_e_resources_table!F135=1,TRUE,FALSE))</f>
        <v>true</v>
      </c>
      <c r="F135" t="str">
        <f>LOWER(IF(orig_e_resources_table!I135=1,TRUE,FALSE))</f>
        <v>true</v>
      </c>
      <c r="G135" t="str">
        <f>SUBSTITUTE(SUBSTITUTE(orig_e_resources_table!O135,CHAR(13),""),CHAR(10),"")</f>
        <v>Mental Measurements Yearbook contains full text information and reviews of all English-language standardized tests covering educational skills, personality, vocational aptitude, psychology, and related areas.</v>
      </c>
      <c r="I135" t="str">
        <f t="shared" si="2"/>
        <v>xxx</v>
      </c>
    </row>
    <row r="136" spans="1:9" x14ac:dyDescent="0.25">
      <c r="A136">
        <v>135</v>
      </c>
      <c r="B136" t="str">
        <f>orig_e_resources_table!B136</f>
        <v>RSC Journal Archives (abstracts)</v>
      </c>
      <c r="C136" t="str">
        <f>IF(orig_e_resources_table!C136="","",orig_e_resources_table!C136)</f>
        <v>NULL</v>
      </c>
      <c r="D136" t="str">
        <f>orig_e_resources_table!D136</f>
        <v>http://www.rsc.org/Publishing/Journals/fjournalsearch.asp</v>
      </c>
      <c r="E136" t="str">
        <f>LOWER(IF(orig_e_resources_table!F136=1,TRUE,FALSE))</f>
        <v>true</v>
      </c>
      <c r="F136" t="str">
        <f>LOWER(IF(orig_e_resources_table!I136=1,TRUE,FALSE))</f>
        <v>false</v>
      </c>
      <c r="G136" t="str">
        <f>SUBSTITUTE(SUBSTITUTE(orig_e_resources_table!O136,CHAR(13),""),CHAR(10),"")</f>
        <v/>
      </c>
      <c r="I136" t="str">
        <f t="shared" si="2"/>
        <v>xxx</v>
      </c>
    </row>
    <row r="137" spans="1:9" x14ac:dyDescent="0.25">
      <c r="A137">
        <v>136</v>
      </c>
      <c r="B137">
        <f>orig_e_resources_table!B137</f>
        <v>0</v>
      </c>
      <c r="C137" t="str">
        <f>IF(orig_e_resources_table!C137="","",orig_e_resources_table!C137)</f>
        <v>NULL</v>
      </c>
      <c r="D137">
        <f>orig_e_resources_table!D137</f>
        <v>0</v>
      </c>
      <c r="E137" t="str">
        <f>LOWER(IF(orig_e_resources_table!F137=1,TRUE,FALSE))</f>
        <v>true</v>
      </c>
      <c r="F137" t="str">
        <f>LOWER(IF(orig_e_resources_table!I137=1,TRUE,FALSE))</f>
        <v>true</v>
      </c>
      <c r="G137" t="str">
        <f>SUBSTITUTE(SUBSTITUTE(orig_e_resources_table!O137,CHAR(13),""),CHAR(10),"")</f>
        <v/>
      </c>
      <c r="I137" t="str">
        <f t="shared" si="2"/>
        <v>xxx</v>
      </c>
    </row>
    <row r="138" spans="1:9" x14ac:dyDescent="0.25">
      <c r="A138">
        <v>137</v>
      </c>
      <c r="B138" t="str">
        <f>orig_e_resources_table!B138</f>
        <v>Merriam-Webster OnLine</v>
      </c>
      <c r="C138" t="str">
        <f>IF(orig_e_resources_table!C138="","",orig_e_resources_table!C138)</f>
        <v/>
      </c>
      <c r="D138" t="str">
        <f>orig_e_resources_table!D138</f>
        <v>http://www.m-w.com/</v>
      </c>
      <c r="E138" t="str">
        <f>LOWER(IF(orig_e_resources_table!F138=1,TRUE,FALSE))</f>
        <v>true</v>
      </c>
      <c r="F138" t="str">
        <f>LOWER(IF(orig_e_resources_table!I138=1,TRUE,FALSE))</f>
        <v>false</v>
      </c>
      <c r="G138" t="str">
        <f>SUBSTITUTE(SUBSTITUTE(orig_e_resources_table!O138,CHAR(13),""),CHAR(10),"")</f>
        <v>Online version of this essential dictionary.</v>
      </c>
      <c r="I138" t="str">
        <f t="shared" si="2"/>
        <v>xxx</v>
      </c>
    </row>
    <row r="139" spans="1:9" x14ac:dyDescent="0.25">
      <c r="A139">
        <v>138</v>
      </c>
      <c r="B139" t="str">
        <f>orig_e_resources_table!B139</f>
        <v>METADEX</v>
      </c>
      <c r="C139" t="str">
        <f>IF(orig_e_resources_table!C139="","",orig_e_resources_table!C139)</f>
        <v/>
      </c>
      <c r="D139" t="str">
        <f>orig_e_resources_table!D139</f>
        <v>http://www.csa.com/htbin/dbrng.cgi?username=paulg&amp;access=paulg20&amp;db=metadex-set-c</v>
      </c>
      <c r="E139" t="str">
        <f>LOWER(IF(orig_e_resources_table!F139=1,TRUE,FALSE))</f>
        <v>false</v>
      </c>
      <c r="F139" t="str">
        <f>LOWER(IF(orig_e_resources_table!I139=1,TRUE,FALSE))</f>
        <v>true</v>
      </c>
      <c r="G139" t="str">
        <f>SUBSTITUTE(SUBSTITUTE(orig_e_resources_table!O139,CHAR(13),""),CHAR(10),"")</f>
        <v>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v>
      </c>
      <c r="I139" t="str">
        <f t="shared" si="2"/>
        <v/>
      </c>
    </row>
    <row r="140" spans="1:9" x14ac:dyDescent="0.25">
      <c r="A140">
        <v>139</v>
      </c>
      <c r="B140" t="str">
        <f>orig_e_resources_table!B140</f>
        <v>MicroPatent Materials Patents</v>
      </c>
      <c r="C140" t="str">
        <f>IF(orig_e_resources_table!C140="","",orig_e_resources_table!C140)</f>
        <v/>
      </c>
      <c r="D140" t="str">
        <f>orig_e_resources_table!D140</f>
        <v>http://www.csa.com/htbin/dbrng.cgi?username=paulg&amp;access=paulg20&amp;db=micropatent-set-c</v>
      </c>
      <c r="E140" t="str">
        <f>LOWER(IF(orig_e_resources_table!F140=1,TRUE,FALSE))</f>
        <v>false</v>
      </c>
      <c r="F140" t="str">
        <f>LOWER(IF(orig_e_resources_table!I140=1,TRUE,FALSE))</f>
        <v>true</v>
      </c>
      <c r="G140" t="str">
        <f>SUBSTITUTE(SUBSTITUTE(orig_e_resources_table!O140,CHAR(13),""),CHAR(10),"")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v>
      </c>
      <c r="I140" t="str">
        <f t="shared" si="2"/>
        <v/>
      </c>
    </row>
    <row r="141" spans="1:9" x14ac:dyDescent="0.25">
      <c r="A141">
        <v>140</v>
      </c>
      <c r="B141" t="str">
        <f>orig_e_resources_table!B141</f>
        <v>Military &amp;amp; Government Collection</v>
      </c>
      <c r="C141" t="str">
        <f>IF(orig_e_resources_table!C141="","",orig_e_resources_table!C141)</f>
        <v/>
      </c>
      <c r="D141" t="str">
        <f>orig_e_resources_table!D141</f>
        <v>http://search.EBSCOhost.com/login.asp?profile=web&amp;defaultdb=mth</v>
      </c>
      <c r="E141" t="str">
        <f>LOWER(IF(orig_e_resources_table!F141=1,TRUE,FALSE))</f>
        <v>true</v>
      </c>
      <c r="F141" t="str">
        <f>LOWER(IF(orig_e_resources_table!I141=1,TRUE,FALSE))</f>
        <v>true</v>
      </c>
      <c r="G141" t="str">
        <f>SUBSTITUTE(SUBSTITUTE(orig_e_resources_table!O141,CHAR(13),""),CHAR(10),"")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c r="I141" t="str">
        <f t="shared" si="2"/>
        <v>xxx</v>
      </c>
    </row>
    <row r="142" spans="1:9" x14ac:dyDescent="0.25">
      <c r="A142">
        <v>141</v>
      </c>
      <c r="B142" t="str">
        <f>orig_e_resources_table!B142</f>
        <v>NanoEthicsBank</v>
      </c>
      <c r="C142" t="str">
        <f>IF(orig_e_resources_table!C142="","",orig_e_resources_table!C142)</f>
        <v/>
      </c>
      <c r="D142" t="str">
        <f>orig_e_resources_table!D142</f>
        <v>http://ethics.iit.edu/NanoEthicsBank/</v>
      </c>
      <c r="E142" t="str">
        <f>LOWER(IF(orig_e_resources_table!F142=1,TRUE,FALSE))</f>
        <v>true</v>
      </c>
      <c r="F142" t="str">
        <f>LOWER(IF(orig_e_resources_table!I142=1,TRUE,FALSE))</f>
        <v>false</v>
      </c>
      <c r="G142" t="str">
        <f>SUBSTITUTE(SUBSTITUTE(orig_e_resources_table!O142,CHAR(13),""),CHAR(10),"")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c r="I142" t="str">
        <f t="shared" si="2"/>
        <v>xxx</v>
      </c>
    </row>
    <row r="143" spans="1:9" x14ac:dyDescent="0.25">
      <c r="A143">
        <v>142</v>
      </c>
      <c r="B143" t="str">
        <f>orig_e_resources_table!B143</f>
        <v>NASA Technical Reports Server</v>
      </c>
      <c r="C143" t="str">
        <f>IF(orig_e_resources_table!C143="","",orig_e_resources_table!C143)</f>
        <v>NTRS</v>
      </c>
      <c r="D143" t="str">
        <f>orig_e_resources_table!D143</f>
        <v>http://ntrs.nasa.gov/search.jsp</v>
      </c>
      <c r="E143" t="str">
        <f>LOWER(IF(orig_e_resources_table!F143=1,TRUE,FALSE))</f>
        <v>true</v>
      </c>
      <c r="F143" t="str">
        <f>LOWER(IF(orig_e_resources_table!I143=1,TRUE,FALSE))</f>
        <v>false</v>
      </c>
      <c r="G143" t="str">
        <f>SUBSTITUTE(SUBSTITUTE(orig_e_resources_table!O143,CHAR(13),""),CHAR(10),"")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v>
      </c>
      <c r="I143" t="str">
        <f t="shared" si="2"/>
        <v>xxx</v>
      </c>
    </row>
    <row r="144" spans="1:9" x14ac:dyDescent="0.25">
      <c r="A144">
        <v>143</v>
      </c>
      <c r="B144" t="str">
        <f>orig_e_resources_table!B144</f>
        <v>NBER</v>
      </c>
      <c r="C144" t="str">
        <f>IF(orig_e_resources_table!C144="","",orig_e_resources_table!C144)</f>
        <v>National Bureau of Economic Research Working Papers</v>
      </c>
      <c r="D144" t="str">
        <f>orig_e_resources_table!D144</f>
        <v>http://papers.nber.org/</v>
      </c>
      <c r="E144" t="str">
        <f>LOWER(IF(orig_e_resources_table!F144=1,TRUE,FALSE))</f>
        <v>true</v>
      </c>
      <c r="F144" t="str">
        <f>LOWER(IF(orig_e_resources_table!I144=1,TRUE,FALSE))</f>
        <v>true</v>
      </c>
      <c r="G144" t="str">
        <f>SUBSTITUTE(SUBSTITUTE(orig_e_resources_table!O144,CHAR(13),""),CHAR(10),"")</f>
        <v>Database of reports, papers, and other publications produced by the National Bureau of Economic Research -- a private, nonprofit, nonpartisan research organization.</v>
      </c>
      <c r="I144" t="str">
        <f t="shared" si="2"/>
        <v>xxx</v>
      </c>
    </row>
    <row r="145" spans="1:9" x14ac:dyDescent="0.25">
      <c r="A145">
        <v>144</v>
      </c>
      <c r="B145" t="str">
        <f>orig_e_resources_table!B145</f>
        <v>eBook Collection (EBSCOhost)</v>
      </c>
      <c r="C145" t="str">
        <f>IF(orig_e_resources_table!C145="","",orig_e_resources_table!C145)</f>
        <v/>
      </c>
      <c r="D145" t="str">
        <f>orig_e_resources_table!D145</f>
        <v>http://search.EBSCOhost.com/login.asp?profile=web&amp;defaultdb=nlebk</v>
      </c>
      <c r="E145" t="str">
        <f>LOWER(IF(orig_e_resources_table!F145=1,TRUE,FALSE))</f>
        <v>true</v>
      </c>
      <c r="F145" t="str">
        <f>LOWER(IF(orig_e_resources_table!I145=1,TRUE,FALSE))</f>
        <v>true</v>
      </c>
      <c r="G145" t="str">
        <f>SUBSTITUTE(SUBSTITUTE(orig_e_resources_table!O145,CHAR(13),""),CHAR(10),"")</f>
        <v>This database contains almost 3,400 electronic books made available through the Illinois Digital Academic Library (IDAL).</v>
      </c>
      <c r="I145" t="str">
        <f t="shared" si="2"/>
        <v>xxx</v>
      </c>
    </row>
    <row r="146" spans="1:9" x14ac:dyDescent="0.25">
      <c r="A146">
        <v>145</v>
      </c>
      <c r="B146" t="str">
        <f>orig_e_resources_table!B146</f>
        <v>NYPL Digital Gallery</v>
      </c>
      <c r="C146" t="str">
        <f>IF(orig_e_resources_table!C146="","",orig_e_resources_table!C146)</f>
        <v/>
      </c>
      <c r="D146" t="str">
        <f>orig_e_resources_table!D146</f>
        <v>http://digitalgallery.nypl.org/nypldigital/index.cfm</v>
      </c>
      <c r="E146" t="str">
        <f>LOWER(IF(orig_e_resources_table!F146=1,TRUE,FALSE))</f>
        <v>true</v>
      </c>
      <c r="F146" t="str">
        <f>LOWER(IF(orig_e_resources_table!I146=1,TRUE,FALSE))</f>
        <v>false</v>
      </c>
      <c r="G146" t="str">
        <f>SUBSTITUTE(SUBSTITUTE(orig_e_resources_table!O146,CHAR(13),""),CHAR(10),"")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c r="I146" t="str">
        <f t="shared" si="2"/>
        <v>xxx</v>
      </c>
    </row>
    <row r="147" spans="1:9" x14ac:dyDescent="0.25">
      <c r="A147">
        <v>146</v>
      </c>
      <c r="B147" t="str">
        <f>orig_e_resources_table!B147</f>
        <v>NewsBank - America's Newspapers</v>
      </c>
      <c r="C147" t="str">
        <f>IF(orig_e_resources_table!C147="","",orig_e_resources_table!C147)</f>
        <v/>
      </c>
      <c r="D147" t="str">
        <f>orig_e_resources_table!D147</f>
        <v>http://infoweb.newsbank.com</v>
      </c>
      <c r="E147" t="str">
        <f>LOWER(IF(orig_e_resources_table!F147=1,TRUE,FALSE))</f>
        <v>false</v>
      </c>
      <c r="F147" t="str">
        <f>LOWER(IF(orig_e_resources_table!I147=1,TRUE,FALSE))</f>
        <v>true</v>
      </c>
      <c r="G147" t="str">
        <f>SUBSTITUTE(SUBSTITUTE(orig_e_resources_table!O147,CHAR(13),""),CHAR(10),"")</f>
        <v>Electronic editions of over 700 valuable local, regional, and national U.S. newspapers and magazines. Each paper provides unique coverage of local and regional news, including companies, politics, sports, industries, cultural activities, and people in the community. Paid ads are excluded.</v>
      </c>
      <c r="I147" t="str">
        <f t="shared" si="2"/>
        <v/>
      </c>
    </row>
    <row r="148" spans="1:9" x14ac:dyDescent="0.25">
      <c r="A148">
        <v>147</v>
      </c>
      <c r="B148" t="str">
        <f>orig_e_resources_table!B148</f>
        <v>Newspaper Source</v>
      </c>
      <c r="C148" t="str">
        <f>IF(orig_e_resources_table!C148="","",orig_e_resources_table!C148)</f>
        <v/>
      </c>
      <c r="D148" t="str">
        <f>orig_e_resources_table!D148</f>
        <v>http://search.EBSCOhost.com/login.asp?profile=web&amp;defaultdb=nfh</v>
      </c>
      <c r="E148" t="str">
        <f>LOWER(IF(orig_e_resources_table!F148=1,TRUE,FALSE))</f>
        <v>true</v>
      </c>
      <c r="F148" t="str">
        <f>LOWER(IF(orig_e_resources_table!I148=1,TRUE,FALSE))</f>
        <v>true</v>
      </c>
      <c r="G148" t="str">
        <f>SUBSTITUTE(SUBSTITUTE(orig_e_resources_table!O148,CHAR(13),""),CHAR(10),"")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c r="I148" t="str">
        <f t="shared" si="2"/>
        <v>xxx</v>
      </c>
    </row>
    <row r="149" spans="1:9" x14ac:dyDescent="0.25">
      <c r="A149">
        <v>148</v>
      </c>
      <c r="B149" t="str">
        <f>orig_e_resources_table!B149</f>
        <v>NTIS</v>
      </c>
      <c r="C149" t="str">
        <f>IF(orig_e_resources_table!C149="","",orig_e_resources_table!C149)</f>
        <v>National Technical Information Service</v>
      </c>
      <c r="D149" t="str">
        <f>orig_e_resources_table!D149</f>
        <v>http://www.ntis.gov/search/index.aspx</v>
      </c>
      <c r="E149" t="str">
        <f>LOWER(IF(orig_e_resources_table!F149=1,TRUE,FALSE))</f>
        <v>true</v>
      </c>
      <c r="F149" t="str">
        <f>LOWER(IF(orig_e_resources_table!I149=1,TRUE,FALSE))</f>
        <v>false</v>
      </c>
      <c r="G149" t="str">
        <f>SUBSTITUTE(SUBSTITUTE(orig_e_resources_table!O149,CHAR(13),""),CHAR(10),"")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c r="I149" t="str">
        <f t="shared" si="2"/>
        <v>xxx</v>
      </c>
    </row>
    <row r="150" spans="1:9" x14ac:dyDescent="0.25">
      <c r="A150">
        <v>149</v>
      </c>
      <c r="B150" t="str">
        <f>orig_e_resources_table!B150</f>
        <v>Nucleic Acids Abstracts</v>
      </c>
      <c r="C150" t="str">
        <f>IF(orig_e_resources_table!C150="","",orig_e_resources_table!C150)</f>
        <v/>
      </c>
      <c r="D150" t="str">
        <f>orig_e_resources_table!D150</f>
        <v>http://www.csa.com/htbin/dbrng.cgi?username=paulg&amp;access=paulg20&amp;db=nucleic-acids-set-c</v>
      </c>
      <c r="E150" t="str">
        <f>LOWER(IF(orig_e_resources_table!F150=1,TRUE,FALSE))</f>
        <v>false</v>
      </c>
      <c r="F150" t="str">
        <f>LOWER(IF(orig_e_resources_table!I150=1,TRUE,FALSE))</f>
        <v>true</v>
      </c>
      <c r="G150" t="str">
        <f>SUBSTITUTE(SUBSTITUTE(orig_e_resources_table!O150,CHAR(13),""),CHAR(10),"")</f>
        <v>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v>
      </c>
      <c r="I150" t="str">
        <f t="shared" si="2"/>
        <v/>
      </c>
    </row>
    <row r="151" spans="1:9" x14ac:dyDescent="0.25">
      <c r="A151">
        <v>150</v>
      </c>
      <c r="B151" t="str">
        <f>orig_e_resources_table!B151</f>
        <v>Oncogenes and Growth Factors Abstracts</v>
      </c>
      <c r="C151" t="str">
        <f>IF(orig_e_resources_table!C151="","",orig_e_resources_table!C151)</f>
        <v/>
      </c>
      <c r="D151" t="str">
        <f>orig_e_resources_table!D151</f>
        <v>http://www.csa.com/htbin/dbrng.cgi?username=paulg&amp;access=paulg20&amp;db=oncogenes-set-c</v>
      </c>
      <c r="E151" t="str">
        <f>LOWER(IF(orig_e_resources_table!F151=1,TRUE,FALSE))</f>
        <v>false</v>
      </c>
      <c r="F151" t="str">
        <f>LOWER(IF(orig_e_resources_table!I151=1,TRUE,FALSE))</f>
        <v>true</v>
      </c>
      <c r="G151" t="str">
        <f>SUBSTITUTE(SUBSTITUTE(orig_e_resources_table!O151,CHAR(13),""),CHAR(10),"")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c r="I151" t="str">
        <f t="shared" si="2"/>
        <v/>
      </c>
    </row>
    <row r="152" spans="1:9" x14ac:dyDescent="0.25">
      <c r="A152">
        <v>151</v>
      </c>
      <c r="B152" t="str">
        <f>orig_e_resources_table!B152</f>
        <v>Optics InfoBase</v>
      </c>
      <c r="C152" t="str">
        <f>IF(orig_e_resources_table!C152="","",orig_e_resources_table!C152)</f>
        <v/>
      </c>
      <c r="D152" t="str">
        <f>orig_e_resources_table!D152</f>
        <v>http://www.opticsinfobase.org/default.cfm</v>
      </c>
      <c r="E152" t="str">
        <f>LOWER(IF(orig_e_resources_table!F152=1,TRUE,FALSE))</f>
        <v>true</v>
      </c>
      <c r="F152" t="str">
        <f>LOWER(IF(orig_e_resources_table!I152=1,TRUE,FALSE))</f>
        <v>true</v>
      </c>
      <c r="G152" t="str">
        <f>SUBSTITUTE(SUBSTITUTE(orig_e_resources_table!O152,CHAR(13),""),CHAR(10),"")</f>
        <v xml:space="preserve">InfoBase is the Optical Society of America's online repository of both current and past volumes of all its journals (citations only, no full-text). It also contains recent proceedings from OSA conferences. </v>
      </c>
      <c r="I152" t="str">
        <f t="shared" si="2"/>
        <v>xxx</v>
      </c>
    </row>
    <row r="153" spans="1:9" x14ac:dyDescent="0.25">
      <c r="A153">
        <v>152</v>
      </c>
      <c r="B153" t="str">
        <f>orig_e_resources_table!B153</f>
        <v>Getty Thesaurus of Geographic Names</v>
      </c>
      <c r="C153" t="str">
        <f>IF(orig_e_resources_table!C153="","",orig_e_resources_table!C153)</f>
        <v>NULL</v>
      </c>
      <c r="D153" t="str">
        <f>orig_e_resources_table!D153</f>
        <v>http://www.getty.edu/research/conducting_research/vocabularies/tgn/index.html</v>
      </c>
      <c r="E153" t="str">
        <f>LOWER(IF(orig_e_resources_table!F153=1,TRUE,FALSE))</f>
        <v>true</v>
      </c>
      <c r="F153" t="str">
        <f>LOWER(IF(orig_e_resources_table!I153=1,TRUE,FALSE))</f>
        <v>false</v>
      </c>
      <c r="G153" t="str">
        <f>SUBSTITUTE(SUBSTITUTE(orig_e_resources_table!O153,CHAR(13),""),CHAR(10),"")</f>
        <v>Hierarchical thesaurus of nearly 900,000 places. The TGN provides vernacular and English names of places, variant names in other languages, and whenever possible, historical names. The record for a place may also contain geographical coordinates, dates, and notes.</v>
      </c>
      <c r="I153" t="str">
        <f t="shared" si="2"/>
        <v>xxx</v>
      </c>
    </row>
    <row r="154" spans="1:9" x14ac:dyDescent="0.25">
      <c r="A154">
        <v>153</v>
      </c>
      <c r="B154" t="str">
        <f>orig_e_resources_table!B154</f>
        <v>Oxford English Dictionary</v>
      </c>
      <c r="C154" t="str">
        <f>IF(orig_e_resources_table!C154="","",orig_e_resources_table!C154)</f>
        <v/>
      </c>
      <c r="D154" t="str">
        <f>orig_e_resources_table!D154</f>
        <v>http://www.oed.com/</v>
      </c>
      <c r="E154" t="str">
        <f>LOWER(IF(orig_e_resources_table!F154=1,TRUE,FALSE))</f>
        <v>true</v>
      </c>
      <c r="F154" t="str">
        <f>LOWER(IF(orig_e_resources_table!I154=1,TRUE,FALSE))</f>
        <v>true</v>
      </c>
      <c r="G154" t="str">
        <f>SUBSTITUTE(SUBSTITUTE(orig_e_resources_table!O154,CHAR(13),""),CHAR(10),"")</f>
        <v xml:space="preserve">Online edition of the definitive dictionary of the English language. Find word definitions, etymology, date charts, and more. </v>
      </c>
      <c r="I154" t="str">
        <f t="shared" si="2"/>
        <v>xxx</v>
      </c>
    </row>
    <row r="155" spans="1:9" x14ac:dyDescent="0.25">
      <c r="A155">
        <v>154</v>
      </c>
      <c r="B155" t="str">
        <f>orig_e_resources_table!B155</f>
        <v>Papers First</v>
      </c>
      <c r="C155" t="str">
        <f>IF(orig_e_resources_table!C155="","",orig_e_resources_table!C155)</f>
        <v/>
      </c>
      <c r="D155" t="str">
        <f>orig_e_resources_table!D155</f>
        <v>http://newfirstsearch.oclc.org/dbname=PapersFirst;FSIP</v>
      </c>
      <c r="E155" t="str">
        <f>LOWER(IF(orig_e_resources_table!F155=1,TRUE,FALSE))</f>
        <v>true</v>
      </c>
      <c r="F155" t="str">
        <f>LOWER(IF(orig_e_resources_table!I155=1,TRUE,FALSE))</f>
        <v>true</v>
      </c>
      <c r="G155" t="str">
        <f>SUBSTITUTE(SUBSTITUTE(orig_e_resources_table!O155,CHAR(13),""),CHAR(10),"")</f>
        <v>An index of papers presented at conferences. Includes every congress, conference, exposition, workshop, symposium, and meeting received at the British Library.</v>
      </c>
      <c r="I155" t="str">
        <f t="shared" si="2"/>
        <v>xxx</v>
      </c>
    </row>
    <row r="156" spans="1:9" x14ac:dyDescent="0.25">
      <c r="A156">
        <v>155</v>
      </c>
      <c r="B156" t="str">
        <f>orig_e_resources_table!B156</f>
        <v>PerAbs</v>
      </c>
      <c r="C156" t="str">
        <f>IF(orig_e_resources_table!C156="","",orig_e_resources_table!C156)</f>
        <v>Periodical Abstracts</v>
      </c>
      <c r="D156" t="str">
        <f>orig_e_resources_table!D156</f>
        <v>http://newfirstsearch.oclc.org/dbname=PerAbs;FSIP</v>
      </c>
      <c r="E156" t="str">
        <f>LOWER(IF(orig_e_resources_table!F156=1,TRUE,FALSE))</f>
        <v>false</v>
      </c>
      <c r="F156" t="str">
        <f>LOWER(IF(orig_e_resources_table!I156=1,TRUE,FALSE))</f>
        <v>true</v>
      </c>
      <c r="G156" t="str">
        <f>SUBSTITUTE(SUBSTITUTE(orig_e_resources_table!O156,CHAR(13),""),CHAR(10),"")</f>
        <v>Periodical abstracts from general and academic journals. Subject covered include business, economics, literature, psychology, religion, and women's studies.</v>
      </c>
      <c r="I156" t="str">
        <f t="shared" si="2"/>
        <v/>
      </c>
    </row>
    <row r="157" spans="1:9" x14ac:dyDescent="0.25">
      <c r="A157">
        <v>156</v>
      </c>
      <c r="B157" t="str">
        <f>orig_e_resources_table!B157</f>
        <v>Philosopher's Index</v>
      </c>
      <c r="C157" t="str">
        <f>IF(orig_e_resources_table!C157="","",orig_e_resources_table!C157)</f>
        <v/>
      </c>
      <c r="D157" t="str">
        <f>orig_e_resources_table!D157</f>
        <v>http://search.ebscohost.com/login.aspx?authtype=ip,uid&amp;profile=ehost&amp;defaultdb=phl</v>
      </c>
      <c r="E157" t="str">
        <f>LOWER(IF(orig_e_resources_table!F157=1,TRUE,FALSE))</f>
        <v>true</v>
      </c>
      <c r="F157" t="str">
        <f>LOWER(IF(orig_e_resources_table!I157=1,TRUE,FALSE))</f>
        <v>true</v>
      </c>
      <c r="G157" t="str">
        <f>SUBSTITUTE(SUBSTITUTE(orig_e_resources_table!O157,CHAR(13),""),CHAR(10),"")</f>
        <v>Philosopher's Index covers all major fields of philosophy. This resource contains citation information and author-written abstracts for journal articles, books, contributions to anthologies, and book reviews.</v>
      </c>
      <c r="I157" t="str">
        <f t="shared" si="2"/>
        <v>xxx</v>
      </c>
    </row>
    <row r="158" spans="1:9" x14ac:dyDescent="0.25">
      <c r="A158">
        <v>157</v>
      </c>
      <c r="B158" t="str">
        <f>orig_e_resources_table!B158</f>
        <v>PILOTS Database</v>
      </c>
      <c r="C158" t="str">
        <f>IF(orig_e_resources_table!C158="","",orig_e_resources_table!C158)</f>
        <v>Published International Literature On Traumatic Stress</v>
      </c>
      <c r="D158" t="str">
        <f>orig_e_resources_table!D158</f>
        <v>http://www.csa.com/htbin/dbrng.cgi?username=paulg&amp;access=paulg20&amp;db=pilots-set-c</v>
      </c>
      <c r="E158" t="str">
        <f>LOWER(IF(orig_e_resources_table!F158=1,TRUE,FALSE))</f>
        <v>false</v>
      </c>
      <c r="F158" t="str">
        <f>LOWER(IF(orig_e_resources_table!I158=1,TRUE,FALSE))</f>
        <v>true</v>
      </c>
      <c r="G158" t="str">
        <f>SUBSTITUTE(SUBSTITUTE(orig_e_resources_table!O158,CHAR(13),""),CHAR(10),"")</f>
        <v>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v>
      </c>
      <c r="I158" t="str">
        <f t="shared" si="2"/>
        <v/>
      </c>
    </row>
    <row r="159" spans="1:9" x14ac:dyDescent="0.25">
      <c r="A159">
        <v>158</v>
      </c>
      <c r="B159" t="str">
        <f>orig_e_resources_table!B159</f>
        <v>Plant Science</v>
      </c>
      <c r="C159" t="str">
        <f>IF(orig_e_resources_table!C159="","",orig_e_resources_table!C159)</f>
        <v/>
      </c>
      <c r="D159" t="str">
        <f>orig_e_resources_table!D159</f>
        <v>http://www.csa.com/htbin/dbrng.cgi?username=paulg&amp;access=paulg20&amp;db=plantsci-set-c</v>
      </c>
      <c r="E159" t="str">
        <f>LOWER(IF(orig_e_resources_table!F159=1,TRUE,FALSE))</f>
        <v>false</v>
      </c>
      <c r="F159" t="str">
        <f>LOWER(IF(orig_e_resources_table!I159=1,TRUE,FALSE))</f>
        <v>true</v>
      </c>
      <c r="G159" t="str">
        <f>SUBSTITUTE(SUBSTITUTE(orig_e_resources_table!O159,CHAR(13),""),CHAR(10),"")</f>
        <v>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v>
      </c>
      <c r="I159" t="str">
        <f t="shared" si="2"/>
        <v/>
      </c>
    </row>
    <row r="160" spans="1:9" x14ac:dyDescent="0.25">
      <c r="A160">
        <v>159</v>
      </c>
      <c r="B160" t="str">
        <f>orig_e_resources_table!B160</f>
        <v>PLoS</v>
      </c>
      <c r="C160" t="str">
        <f>IF(orig_e_resources_table!C160="","",orig_e_resources_table!C160)</f>
        <v>Public Library of Science</v>
      </c>
      <c r="D160" t="str">
        <f>orig_e_resources_table!D160</f>
        <v>http://www.plos.org/</v>
      </c>
      <c r="E160" t="str">
        <f>LOWER(IF(orig_e_resources_table!F160=1,TRUE,FALSE))</f>
        <v>true</v>
      </c>
      <c r="F160" t="str">
        <f>LOWER(IF(orig_e_resources_table!I160=1,TRUE,FALSE))</f>
        <v>false</v>
      </c>
      <c r="G160" t="str">
        <f>SUBSTITUTE(SUBSTITUTE(orig_e_resources_table!O160,CHAR(13),""),CHAR(10),"")</f>
        <v>Online repository of open-access scientific journals published by Public Library of Science (PLoS), a nonprofit organization of scientists and physicians committed to making the world's scientific and medical literature a freely available public resource.</v>
      </c>
      <c r="I160" t="str">
        <f t="shared" si="2"/>
        <v>xxx</v>
      </c>
    </row>
    <row r="161" spans="1:9" x14ac:dyDescent="0.25">
      <c r="A161">
        <v>160</v>
      </c>
      <c r="B161" t="str">
        <f>orig_e_resources_table!B161</f>
        <v>Pollution Abstracts</v>
      </c>
      <c r="C161" t="str">
        <f>IF(orig_e_resources_table!C161="","",orig_e_resources_table!C161)</f>
        <v/>
      </c>
      <c r="D161" t="str">
        <f>orig_e_resources_table!D161</f>
        <v>http://www.csa.com/htbin/dbrng.cgi?username=paulg&amp;access=paulg20&amp;db=pollution-set-c&amp;adv=1</v>
      </c>
      <c r="E161" t="str">
        <f>LOWER(IF(orig_e_resources_table!F161=1,TRUE,FALSE))</f>
        <v>false</v>
      </c>
      <c r="F161" t="str">
        <f>LOWER(IF(orig_e_resources_table!I161=1,TRUE,FALSE))</f>
        <v>true</v>
      </c>
      <c r="G161" t="str">
        <f>SUBSTITUTE(SUBSTITUTE(orig_e_resources_table!O161,CHAR(13),""),CHAR(10),"")</f>
        <v>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v>
      </c>
      <c r="I161" t="str">
        <f t="shared" si="2"/>
        <v/>
      </c>
    </row>
    <row r="162" spans="1:9" x14ac:dyDescent="0.25">
      <c r="A162">
        <v>161</v>
      </c>
      <c r="B162" t="str">
        <f>orig_e_resources_table!B162</f>
        <v>Proceedings</v>
      </c>
      <c r="C162" t="str">
        <f>IF(orig_e_resources_table!C162="","",orig_e_resources_table!C162)</f>
        <v/>
      </c>
      <c r="D162" t="str">
        <f>orig_e_resources_table!D162</f>
        <v>http://newfirstsearch.oclc.org/dbname=Proceedings;FSIP</v>
      </c>
      <c r="E162" t="str">
        <f>LOWER(IF(orig_e_resources_table!F162=1,TRUE,FALSE))</f>
        <v>true</v>
      </c>
      <c r="F162" t="str">
        <f>LOWER(IF(orig_e_resources_table!I162=1,TRUE,FALSE))</f>
        <v>true</v>
      </c>
      <c r="G162" t="str">
        <f>SUBSTITUTE(SUBSTITUTE(orig_e_resources_table!O162,CHAR(13),""),CHAR(10),"")</f>
        <v>Index of worldwide conference proceedings. Covers every published congress, symposium, conference, exposition, workshop and meeting received by The British Library Document Supply Centre.</v>
      </c>
      <c r="I162" t="str">
        <f t="shared" si="2"/>
        <v>xxx</v>
      </c>
    </row>
    <row r="163" spans="1:9" x14ac:dyDescent="0.25">
      <c r="A163">
        <v>162</v>
      </c>
      <c r="B163" t="str">
        <f>orig_e_resources_table!B163</f>
        <v>Professional Development Collection</v>
      </c>
      <c r="C163" t="str">
        <f>IF(orig_e_resources_table!C163="","",orig_e_resources_table!C163)</f>
        <v/>
      </c>
      <c r="D163" t="str">
        <f>orig_e_resources_table!D163</f>
        <v>http://search.EBSCOhost.com/login.asp?profile=web&amp;defaultdb=tfh</v>
      </c>
      <c r="E163" t="str">
        <f>LOWER(IF(orig_e_resources_table!F163=1,TRUE,FALSE))</f>
        <v>true</v>
      </c>
      <c r="F163" t="str">
        <f>LOWER(IF(orig_e_resources_table!I163=1,TRUE,FALSE))</f>
        <v>true</v>
      </c>
      <c r="G163" t="str">
        <f>SUBSTITUTE(SUBSTITUTE(orig_e_resources_table!O163,CHAR(13),""),CHAR(10),"")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c r="I163" t="str">
        <f t="shared" si="2"/>
        <v>xxx</v>
      </c>
    </row>
    <row r="164" spans="1:9" x14ac:dyDescent="0.25">
      <c r="A164">
        <v>163</v>
      </c>
      <c r="B164" t="str">
        <f>orig_e_resources_table!B164</f>
        <v>Project Gutenberg</v>
      </c>
      <c r="C164" t="str">
        <f>IF(orig_e_resources_table!C164="","",orig_e_resources_table!C164)</f>
        <v/>
      </c>
      <c r="D164" t="str">
        <f>orig_e_resources_table!D164</f>
        <v>http://gutenberg.cc/</v>
      </c>
      <c r="E164" t="str">
        <f>LOWER(IF(orig_e_resources_table!F164=1,TRUE,FALSE))</f>
        <v>true</v>
      </c>
      <c r="F164" t="str">
        <f>LOWER(IF(orig_e_resources_table!I164=1,TRUE,FALSE))</f>
        <v>false</v>
      </c>
      <c r="G164" t="str">
        <f>SUBSTITUTE(SUBSTITUTE(orig_e_resources_table!O164,CHAR(13),""),CHAR(10),"")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c r="I164" t="str">
        <f t="shared" si="2"/>
        <v>xxx</v>
      </c>
    </row>
    <row r="165" spans="1:9" x14ac:dyDescent="0.25">
      <c r="A165">
        <v>164</v>
      </c>
      <c r="B165" t="str">
        <f>orig_e_resources_table!B165</f>
        <v>Project Muse</v>
      </c>
      <c r="C165" t="str">
        <f>IF(orig_e_resources_table!C165="","",orig_e_resources_table!C165)</f>
        <v/>
      </c>
      <c r="D165" t="str">
        <f>orig_e_resources_table!D165</f>
        <v>http://muse.jhu.edu/search/search.pl</v>
      </c>
      <c r="E165" t="str">
        <f>LOWER(IF(orig_e_resources_table!F165=1,TRUE,FALSE))</f>
        <v>true</v>
      </c>
      <c r="F165" t="str">
        <f>LOWER(IF(orig_e_resources_table!I165=1,TRUE,FALSE))</f>
        <v>true</v>
      </c>
      <c r="G165" t="str">
        <f>SUBSTITUTE(SUBSTITUTE(orig_e_resources_table!O165,CHAR(13),""),CHAR(10),"")</f>
        <v>This database offers a comprehensive selection of prestigious humanities, arts, and social sciences journals. Every journal is indexed and peer-reviewed. Project MUSE contains articles scanned as exact replicas in pdf format.</v>
      </c>
      <c r="I165" t="str">
        <f t="shared" si="2"/>
        <v>xxx</v>
      </c>
    </row>
    <row r="166" spans="1:9" x14ac:dyDescent="0.25">
      <c r="A166">
        <v>165</v>
      </c>
      <c r="B166" t="str">
        <f>orig_e_resources_table!B166</f>
        <v>PROMT</v>
      </c>
      <c r="C166" t="str">
        <f>IF(orig_e_resources_table!C166="","",orig_e_resources_table!C166)</f>
        <v>Predicast Overview of Markets and Technology</v>
      </c>
      <c r="D166" t="str">
        <f>orig_e_resources_table!D166</f>
        <v>http://find.galegroup.com/menu/start?userGroupName=chic40381&amp;prod=PRS</v>
      </c>
      <c r="E166" t="str">
        <f>LOWER(IF(orig_e_resources_table!F166=1,TRUE,FALSE))</f>
        <v>false</v>
      </c>
      <c r="F166" t="str">
        <f>LOWER(IF(orig_e_resources_table!I166=1,TRUE,FALSE))</f>
        <v>false</v>
      </c>
      <c r="G166" t="str">
        <f>SUBSTITUTE(SUBSTITUTE(orig_e_resources_table!O166,CHAR(13),""),CHAR(10),"")</f>
        <v/>
      </c>
      <c r="I166" t="str">
        <f t="shared" si="2"/>
        <v/>
      </c>
    </row>
    <row r="167" spans="1:9" x14ac:dyDescent="0.25">
      <c r="A167">
        <v>166</v>
      </c>
      <c r="B167" t="str">
        <f>orig_e_resources_table!B167</f>
        <v>PsycARTICLES</v>
      </c>
      <c r="C167" t="str">
        <f>IF(orig_e_resources_table!C167="","",orig_e_resources_table!C167)</f>
        <v/>
      </c>
      <c r="D167" t="str">
        <f>orig_e_resources_table!D167</f>
        <v>http://search.ebscohost.com/login.asp?profile=web&amp;defaultdb=pdh</v>
      </c>
      <c r="E167" t="str">
        <f>LOWER(IF(orig_e_resources_table!F167=1,TRUE,FALSE))</f>
        <v>true</v>
      </c>
      <c r="F167" t="str">
        <f>LOWER(IF(orig_e_resources_table!I167=1,TRUE,FALSE))</f>
        <v>true</v>
      </c>
      <c r="G167" t="str">
        <f>SUBSTITUTE(SUBSTITUTE(orig_e_resources_table!O167,CHAR(13),""),CHAR(10),"")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c r="I167" t="str">
        <f t="shared" si="2"/>
        <v>xxx</v>
      </c>
    </row>
    <row r="168" spans="1:9" x14ac:dyDescent="0.25">
      <c r="A168">
        <v>167</v>
      </c>
      <c r="B168" t="str">
        <f>orig_e_resources_table!B168</f>
        <v>PsycINFO</v>
      </c>
      <c r="C168" t="str">
        <f>IF(orig_e_resources_table!C168="","",orig_e_resources_table!C168)</f>
        <v/>
      </c>
      <c r="D168" t="str">
        <f>orig_e_resources_table!D168</f>
        <v>http://search.ebscohost.com/login.asp?profile=web&amp;amp;defaultdb=psyh</v>
      </c>
      <c r="E168" t="str">
        <f>LOWER(IF(orig_e_resources_table!F168=1,TRUE,FALSE))</f>
        <v>true</v>
      </c>
      <c r="F168" t="str">
        <f>LOWER(IF(orig_e_resources_table!I168=1,TRUE,FALSE))</f>
        <v>true</v>
      </c>
      <c r="G168" t="str">
        <f>SUBSTITUTE(SUBSTITUTE(orig_e_resources_table!O168,CHAR(13),""),CHAR(10),"")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c r="I168" t="str">
        <f t="shared" si="2"/>
        <v>xxx</v>
      </c>
    </row>
    <row r="169" spans="1:9" x14ac:dyDescent="0.25">
      <c r="A169">
        <v>168</v>
      </c>
      <c r="B169" t="str">
        <f>orig_e_resources_table!B169</f>
        <v>DTIC Online: Public Technical Reports</v>
      </c>
      <c r="C169" t="str">
        <f>IF(orig_e_resources_table!C169="","",orig_e_resources_table!C169)</f>
        <v/>
      </c>
      <c r="D169" t="str">
        <f>orig_e_resources_table!D169</f>
        <v>http://www.dtic.mil/dtic/search/tr/</v>
      </c>
      <c r="E169" t="str">
        <f>LOWER(IF(orig_e_resources_table!F169=1,TRUE,FALSE))</f>
        <v>true</v>
      </c>
      <c r="F169" t="str">
        <f>LOWER(IF(orig_e_resources_table!I169=1,TRUE,FALSE))</f>
        <v>false</v>
      </c>
      <c r="G169" t="str">
        <f>SUBSTITUTE(SUBSTITUTE(orig_e_resources_table!O169,CHAR(13),""),CHAR(10),"")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v>
      </c>
      <c r="I169" t="str">
        <f t="shared" si="2"/>
        <v>xxx</v>
      </c>
    </row>
    <row r="170" spans="1:9" x14ac:dyDescent="0.25">
      <c r="A170">
        <v>169</v>
      </c>
      <c r="B170" t="str">
        <f>orig_e_resources_table!B170</f>
        <v>PubMed</v>
      </c>
      <c r="C170" t="str">
        <f>IF(orig_e_resources_table!C170="","",orig_e_resources_table!C170)</f>
        <v/>
      </c>
      <c r="D170" t="str">
        <f>orig_e_resources_table!D170</f>
        <v>http://www.ncbi.nlm.nih.gov/sites/entrez?otool=ilinstclib</v>
      </c>
      <c r="E170" t="str">
        <f>LOWER(IF(orig_e_resources_table!F170=1,TRUE,FALSE))</f>
        <v>true</v>
      </c>
      <c r="F170" t="str">
        <f>LOWER(IF(orig_e_resources_table!I170=1,TRUE,FALSE))</f>
        <v>false</v>
      </c>
      <c r="G170" t="str">
        <f>SUBSTITUTE(SUBSTITUTE(orig_e_resources_table!O170,CHAR(13),""),CHAR(10),"")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c r="I170" t="str">
        <f t="shared" si="2"/>
        <v>xxx</v>
      </c>
    </row>
    <row r="171" spans="1:9" x14ac:dyDescent="0.25">
      <c r="A171">
        <v>170</v>
      </c>
      <c r="B171" t="str">
        <f>orig_e_resources_table!B171</f>
        <v>Regional Business News</v>
      </c>
      <c r="C171" t="str">
        <f>IF(orig_e_resources_table!C171="","",orig_e_resources_table!C171)</f>
        <v/>
      </c>
      <c r="D171" t="str">
        <f>orig_e_resources_table!D171</f>
        <v>http://search.EBSCOhost.com/login.asp?profile=web&amp;defaultdb=bwh</v>
      </c>
      <c r="E171" t="str">
        <f>LOWER(IF(orig_e_resources_table!F171=1,TRUE,FALSE))</f>
        <v>true</v>
      </c>
      <c r="F171" t="str">
        <f>LOWER(IF(orig_e_resources_table!I171=1,TRUE,FALSE))</f>
        <v>true</v>
      </c>
      <c r="G171" t="str">
        <f>SUBSTITUTE(SUBSTITUTE(orig_e_resources_table!O171,CHAR(13),""),CHAR(10),"")</f>
        <v>Regional Business News covers 75 business journals, newspapers and newswires covering all metropolitan and rural areas within the United States. Full-text is available for many publications.</v>
      </c>
      <c r="I171" t="str">
        <f t="shared" si="2"/>
        <v>xxx</v>
      </c>
    </row>
    <row r="172" spans="1:9" x14ac:dyDescent="0.25">
      <c r="A172">
        <v>171</v>
      </c>
      <c r="B172" t="str">
        <f>orig_e_resources_table!B172</f>
        <v>Risk Abstracts</v>
      </c>
      <c r="C172" t="str">
        <f>IF(orig_e_resources_table!C172="","",orig_e_resources_table!C172)</f>
        <v/>
      </c>
      <c r="D172" t="str">
        <f>orig_e_resources_table!D172</f>
        <v>http://www.csa.com/htbin/dbrng.cgi?username=paulg&amp;access=paulg20&amp;db=risk-set-c</v>
      </c>
      <c r="E172" t="str">
        <f>LOWER(IF(orig_e_resources_table!F172=1,TRUE,FALSE))</f>
        <v>false</v>
      </c>
      <c r="F172" t="str">
        <f>LOWER(IF(orig_e_resources_table!I172=1,TRUE,FALSE))</f>
        <v>true</v>
      </c>
      <c r="G172" t="str">
        <f>SUBSTITUTE(SUBSTITUTE(orig_e_resources_table!O172,CHAR(13),""),CHAR(10),"")</f>
        <v>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v>
      </c>
      <c r="I172" t="str">
        <f t="shared" si="2"/>
        <v/>
      </c>
    </row>
    <row r="173" spans="1:9" x14ac:dyDescent="0.25">
      <c r="A173">
        <v>172</v>
      </c>
      <c r="B173" t="str">
        <f>orig_e_resources_table!B173</f>
        <v>SAGE Journals Online</v>
      </c>
      <c r="C173" t="str">
        <f>IF(orig_e_resources_table!C173="","",orig_e_resources_table!C173)</f>
        <v/>
      </c>
      <c r="D173" t="str">
        <f>orig_e_resources_table!D173</f>
        <v>http://online.sagepub.com</v>
      </c>
      <c r="E173" t="str">
        <f>LOWER(IF(orig_e_resources_table!F173=1,TRUE,FALSE))</f>
        <v>true</v>
      </c>
      <c r="F173" t="str">
        <f>LOWER(IF(orig_e_resources_table!I173=1,TRUE,FALSE))</f>
        <v>true</v>
      </c>
      <c r="G173" t="str">
        <f>SUBSTITUTE(SUBSTITUTE(orig_e_resources_table!O173,CHAR(13),""),CHAR(10),"")</f>
        <v>A collection of over 450 online, peer-reviewed journals and other scholarly content in many disciplines including Management &amp;amp; Organization Studies, Communication Studies, Psychology and Sociology. Full-text available from 1999-present.</v>
      </c>
      <c r="I173" t="str">
        <f t="shared" si="2"/>
        <v>xxx</v>
      </c>
    </row>
    <row r="174" spans="1:9" x14ac:dyDescent="0.25">
      <c r="A174">
        <v>173</v>
      </c>
      <c r="B174" t="str">
        <f>orig_e_resources_table!B174</f>
        <v>Sanborn Digital Maps 1867-1970</v>
      </c>
      <c r="C174" t="str">
        <f>IF(orig_e_resources_table!C174="","",orig_e_resources_table!C174)</f>
        <v/>
      </c>
      <c r="D174" t="str">
        <f>orig_e_resources_table!D174</f>
        <v>http://collections.carli.illinois.edu/cdm4/browse.php?CISOROOT=/sanborn</v>
      </c>
      <c r="E174" t="str">
        <f>LOWER(IF(orig_e_resources_table!F174=1,TRUE,FALSE))</f>
        <v>true</v>
      </c>
      <c r="F174" t="str">
        <f>LOWER(IF(orig_e_resources_table!I174=1,TRUE,FALSE))</f>
        <v>true</v>
      </c>
      <c r="G174" t="str">
        <f>SUBSTITUTE(SUBSTITUTE(orig_e_resources_table!O174,CHAR(13),""),CHAR(10),"")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c r="I174" t="str">
        <f t="shared" si="2"/>
        <v>xxx</v>
      </c>
    </row>
    <row r="175" spans="1:9" x14ac:dyDescent="0.25">
      <c r="A175">
        <v>174</v>
      </c>
      <c r="B175" t="str">
        <f>orig_e_resources_table!B175</f>
        <v>Saskia Art Images Collection</v>
      </c>
      <c r="C175" t="str">
        <f>IF(orig_e_resources_table!C175="","",orig_e_resources_table!C175)</f>
        <v/>
      </c>
      <c r="D175" t="str">
        <f>orig_e_resources_table!D175</f>
        <v>http://collections.carli.illinois.edu/cdm4/index_saskia.php?CISOROOT=/saskia</v>
      </c>
      <c r="E175" t="str">
        <f>LOWER(IF(orig_e_resources_table!F175=1,TRUE,FALSE))</f>
        <v>true</v>
      </c>
      <c r="F175" t="str">
        <f>LOWER(IF(orig_e_resources_table!I175=1,TRUE,FALSE))</f>
        <v>true</v>
      </c>
      <c r="G175" t="str">
        <f>SUBSTITUTE(SUBSTITUTE(orig_e_resources_table!O175,CHAR(13),""),CHAR(10),"")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c r="I175" t="str">
        <f t="shared" si="2"/>
        <v>xxx</v>
      </c>
    </row>
    <row r="176" spans="1:9" x14ac:dyDescent="0.25">
      <c r="A176">
        <v>175</v>
      </c>
      <c r="B176" t="str">
        <f>orig_e_resources_table!B176</f>
        <v>Science.gov</v>
      </c>
      <c r="C176" t="str">
        <f>IF(orig_e_resources_table!C176="","",orig_e_resources_table!C176)</f>
        <v/>
      </c>
      <c r="D176" t="str">
        <f>orig_e_resources_table!D176</f>
        <v>http://www.science.gov/</v>
      </c>
      <c r="E176" t="str">
        <f>LOWER(IF(orig_e_resources_table!F176=1,TRUE,FALSE))</f>
        <v>true</v>
      </c>
      <c r="F176" t="str">
        <f>LOWER(IF(orig_e_resources_table!I176=1,TRUE,FALSE))</f>
        <v>false</v>
      </c>
      <c r="G176" t="str">
        <f>SUBSTITUTE(SUBSTITUTE(orig_e_resources_table!O176,CHAR(13),""),CHAR(10),"")</f>
        <v>Science.gov is a gateway to over 50 million pages of authoritative selected science information provided by U.S. government agencies, including research and development results.</v>
      </c>
      <c r="I176" t="str">
        <f t="shared" si="2"/>
        <v>xxx</v>
      </c>
    </row>
    <row r="177" spans="1:9" x14ac:dyDescent="0.25">
      <c r="A177">
        <v>176</v>
      </c>
      <c r="B177" t="str">
        <f>orig_e_resources_table!B177</f>
        <v>ScienceDirect</v>
      </c>
      <c r="C177" t="str">
        <f>IF(orig_e_resources_table!C177="","",orig_e_resources_table!C177)</f>
        <v/>
      </c>
      <c r="D177" t="str">
        <f>orig_e_resources_table!D177</f>
        <v>http://www.sciencedirect.com/science?_ob=JournalListURL&amp;_update=y&amp;_auth=y&amp;_acct=C000038758&amp;md5=53ed6a00967cec5320d541a476b9d31e&amp;subjColl=all&amp;stype=title&amp;type=subscribed</v>
      </c>
      <c r="E177" t="str">
        <f>LOWER(IF(orig_e_resources_table!F177=1,TRUE,FALSE))</f>
        <v>true</v>
      </c>
      <c r="F177" t="str">
        <f>LOWER(IF(orig_e_resources_table!I177=1,TRUE,FALSE))</f>
        <v>true</v>
      </c>
      <c r="G177" t="str">
        <f>SUBSTITUTE(SUBSTITUTE(orig_e_resources_table!O177,CHAR(13),""),CHAR(10),"")</f>
        <v>Online access to journals published by Elsevier, mainly in the fields of science, technology, and medicine. Use the Browse links to search for journals by subject area or title.</v>
      </c>
      <c r="I177" t="str">
        <f t="shared" si="2"/>
        <v>xxx</v>
      </c>
    </row>
    <row r="178" spans="1:9" x14ac:dyDescent="0.25">
      <c r="A178">
        <v>177</v>
      </c>
      <c r="B178" t="str">
        <f>orig_e_resources_table!B178</f>
        <v>SciFinder Scholar</v>
      </c>
      <c r="C178" t="str">
        <f>IF(orig_e_resources_table!C178="","",orig_e_resources_table!C178)</f>
        <v/>
      </c>
      <c r="D178" t="str">
        <f>orig_e_resources_table!D178</f>
        <v>https://scifinder.cas.org/scifinder</v>
      </c>
      <c r="E178" t="str">
        <f>LOWER(IF(orig_e_resources_table!F178=1,TRUE,FALSE))</f>
        <v>true</v>
      </c>
      <c r="F178" t="str">
        <f>LOWER(IF(orig_e_resources_table!I178=1,TRUE,FALSE))</f>
        <v>true</v>
      </c>
      <c r="G178" t="str">
        <f>SUBSTITUTE(SUBSTITUTE(orig_e_resources_table!O178,CHAR(13),""),CHAR(10),"")</f>
        <v xml:space="preserve">SciFinder is the premier research tool for chemical, biological, biomedical, and related scientific information. </v>
      </c>
      <c r="I178" t="str">
        <f t="shared" si="2"/>
        <v>xxx</v>
      </c>
    </row>
    <row r="179" spans="1:9" x14ac:dyDescent="0.25">
      <c r="A179">
        <v>178</v>
      </c>
      <c r="B179" t="str">
        <f>orig_e_resources_table!B179</f>
        <v>Getty Art &amp;amp; Architecture Thesaurus</v>
      </c>
      <c r="C179" t="str">
        <f>IF(orig_e_resources_table!C179="","",orig_e_resources_table!C179)</f>
        <v>NULL</v>
      </c>
      <c r="D179" t="str">
        <f>orig_e_resources_table!D179</f>
        <v>http://www.getty.edu/research/conducting_research/vocabularies/aat/</v>
      </c>
      <c r="E179" t="str">
        <f>LOWER(IF(orig_e_resources_table!F179=1,TRUE,FALSE))</f>
        <v>true</v>
      </c>
      <c r="F179" t="str">
        <f>LOWER(IF(orig_e_resources_table!I179=1,TRUE,FALSE))</f>
        <v>false</v>
      </c>
      <c r="G179" t="str">
        <f>SUBSTITUTE(SUBSTITUTE(orig_e_resources_table!O179,CHAR(13),""),CHAR(10),"")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c r="I179" t="str">
        <f t="shared" si="2"/>
        <v>xxx</v>
      </c>
    </row>
    <row r="180" spans="1:9" x14ac:dyDescent="0.25">
      <c r="A180">
        <v>179</v>
      </c>
      <c r="B180" t="str">
        <f>orig_e_resources_table!B180</f>
        <v>Scirus</v>
      </c>
      <c r="C180" t="str">
        <f>IF(orig_e_resources_table!C180="","",orig_e_resources_table!C180)</f>
        <v/>
      </c>
      <c r="D180" t="str">
        <f>orig_e_resources_table!D180</f>
        <v>http://scirus.com/</v>
      </c>
      <c r="E180" t="str">
        <f>LOWER(IF(orig_e_resources_table!F180=1,TRUE,FALSE))</f>
        <v>true</v>
      </c>
      <c r="F180" t="str">
        <f>LOWER(IF(orig_e_resources_table!I180=1,TRUE,FALSE))</f>
        <v>false</v>
      </c>
      <c r="G180" t="str">
        <f>SUBSTITUTE(SUBSTITUTE(orig_e_resources_table!O180,CHAR(13),""),CHAR(10),"")</f>
        <v>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v>
      </c>
      <c r="I180" t="str">
        <f t="shared" si="2"/>
        <v>xxx</v>
      </c>
    </row>
    <row r="181" spans="1:9" x14ac:dyDescent="0.25">
      <c r="A181">
        <v>180</v>
      </c>
      <c r="B181" t="str">
        <f>orig_e_resources_table!B181</f>
        <v>Scitation</v>
      </c>
      <c r="C181" t="str">
        <f>IF(orig_e_resources_table!C181="","",orig_e_resources_table!C181)</f>
        <v/>
      </c>
      <c r="D181" t="str">
        <f>orig_e_resources_table!D181</f>
        <v>http://scitation.aip.org/</v>
      </c>
      <c r="E181" t="str">
        <f>LOWER(IF(orig_e_resources_table!F181=1,TRUE,FALSE))</f>
        <v>true</v>
      </c>
      <c r="F181" t="str">
        <f>LOWER(IF(orig_e_resources_table!I181=1,TRUE,FALSE))</f>
        <v>true</v>
      </c>
      <c r="G181" t="str">
        <f>SUBSTITUTE(SUBSTITUTE(orig_e_resources_table!O181,CHAR(13),""),CHAR(10),"")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c r="I181" t="str">
        <f t="shared" si="2"/>
        <v>xxx</v>
      </c>
    </row>
    <row r="182" spans="1:9" x14ac:dyDescent="0.25">
      <c r="A182">
        <v>181</v>
      </c>
      <c r="B182" t="str">
        <f>orig_e_resources_table!B182</f>
        <v>SIAM Journals</v>
      </c>
      <c r="C182" t="str">
        <f>IF(orig_e_resources_table!C182="","",orig_e_resources_table!C182)</f>
        <v>Society for Industrial and Applied Mathematics</v>
      </c>
      <c r="D182" t="str">
        <f>orig_e_resources_table!D182</f>
        <v>http://epubs.siam.org/</v>
      </c>
      <c r="E182" t="str">
        <f>LOWER(IF(orig_e_resources_table!F182=1,TRUE,FALSE))</f>
        <v>true</v>
      </c>
      <c r="F182" t="str">
        <f>LOWER(IF(orig_e_resources_table!I182=1,TRUE,FALSE))</f>
        <v>true</v>
      </c>
      <c r="G182" t="str">
        <f>SUBSTITUTE(SUBSTITUTE(orig_e_resources_table!O182,CHAR(13),""),CHAR(10),"")</f>
        <v>An online digital library of publications of the Society for Industrial and Applied Mathematics, from 1997-present. Use the Advanced Search feature to search multiple titles simultaneously.</v>
      </c>
      <c r="I182" t="str">
        <f t="shared" si="2"/>
        <v>xxx</v>
      </c>
    </row>
    <row r="183" spans="1:9" x14ac:dyDescent="0.25">
      <c r="A183">
        <v>182</v>
      </c>
      <c r="B183" t="str">
        <f>orig_e_resources_table!B183</f>
        <v>SIAM Locus</v>
      </c>
      <c r="C183" t="str">
        <f>IF(orig_e_resources_table!C183="","",orig_e_resources_table!C183)</f>
        <v>Society for Industrial and Applied Mathematics</v>
      </c>
      <c r="D183" t="str">
        <f>orig_e_resources_table!D183</f>
        <v>http://locus.siam.org/</v>
      </c>
      <c r="E183" t="str">
        <f>LOWER(IF(orig_e_resources_table!F183=1,TRUE,FALSE))</f>
        <v>true</v>
      </c>
      <c r="F183" t="str">
        <f>LOWER(IF(orig_e_resources_table!I183=1,TRUE,FALSE))</f>
        <v>true</v>
      </c>
      <c r="G183" t="str">
        <f>SUBSTITUTE(SUBSTITUTE(orig_e_resources_table!O183,CHAR(13),""),CHAR(10),"")</f>
        <v xml:space="preserve">Online digital library of publications of the Society for Industrial and Applied Mathematics from 1952-1996. Browse by journal title or use the Advanced Search feature to search multiple titles simultaneously. </v>
      </c>
      <c r="I183" t="str">
        <f t="shared" si="2"/>
        <v>xxx</v>
      </c>
    </row>
    <row r="184" spans="1:9" x14ac:dyDescent="0.25">
      <c r="A184">
        <v>183</v>
      </c>
      <c r="B184" t="str">
        <f>orig_e_resources_table!B184</f>
        <v>Smithsonian Photography Initiative</v>
      </c>
      <c r="C184" t="str">
        <f>IF(orig_e_resources_table!C184="","",orig_e_resources_table!C184)</f>
        <v/>
      </c>
      <c r="D184" t="str">
        <f>orig_e_resources_table!D184</f>
        <v>http://photography.si.edu/</v>
      </c>
      <c r="E184" t="str">
        <f>LOWER(IF(orig_e_resources_table!F184=1,TRUE,FALSE))</f>
        <v>true</v>
      </c>
      <c r="F184" t="str">
        <f>LOWER(IF(orig_e_resources_table!I184=1,TRUE,FALSE))</f>
        <v>false</v>
      </c>
      <c r="G184" t="str">
        <f>SUBSTITUTE(SUBSTITUTE(orig_e_resources_table!O184,CHAR(13),""),CHAR(10),"")</f>
        <v xml:space="preserve">Image database featuring more than 13 million images in some seven hundred collections throughout Smithsonian museums and research centers. Subject areas include aerospace engineering, history, manufacturing, and the humanities. </v>
      </c>
      <c r="I184" t="str">
        <f t="shared" si="2"/>
        <v>xxx</v>
      </c>
    </row>
    <row r="185" spans="1:9" x14ac:dyDescent="0.25">
      <c r="A185">
        <v>184</v>
      </c>
      <c r="B185" t="str">
        <f>orig_e_resources_table!B185</f>
        <v>Social Services Abstracts</v>
      </c>
      <c r="C185" t="str">
        <f>IF(orig_e_resources_table!C185="","",orig_e_resources_table!C185)</f>
        <v/>
      </c>
      <c r="D185" t="str">
        <f>orig_e_resources_table!D185</f>
        <v>http://www.csa.com/htbin/dbrng.cgi?username=paulg&amp;access=paulg20&amp;db=ssa-set-c</v>
      </c>
      <c r="E185" t="str">
        <f>LOWER(IF(orig_e_resources_table!F185=1,TRUE,FALSE))</f>
        <v>false</v>
      </c>
      <c r="F185" t="str">
        <f>LOWER(IF(orig_e_resources_table!I185=1,TRUE,FALSE))</f>
        <v>true</v>
      </c>
      <c r="G185" t="str">
        <f>SUBSTITUTE(SUBSTITUTE(orig_e_resources_table!O185,CHAR(13),""),CHAR(10),"")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c r="I185" t="str">
        <f t="shared" si="2"/>
        <v/>
      </c>
    </row>
    <row r="186" spans="1:9" x14ac:dyDescent="0.25">
      <c r="A186">
        <v>185</v>
      </c>
      <c r="B186" t="str">
        <f>orig_e_resources_table!B186</f>
        <v>Sociological Abstracts</v>
      </c>
      <c r="C186" t="str">
        <f>IF(orig_e_resources_table!C186="","",orig_e_resources_table!C186)</f>
        <v/>
      </c>
      <c r="D186" t="str">
        <f>orig_e_resources_table!D186</f>
        <v>http://www.csa.com/htbin/dbrng.cgi?username=paulg&amp;access=paulg20&amp;db=socioabs-set-c</v>
      </c>
      <c r="E186" t="str">
        <f>LOWER(IF(orig_e_resources_table!F186=1,TRUE,FALSE))</f>
        <v>false</v>
      </c>
      <c r="F186" t="str">
        <f>LOWER(IF(orig_e_resources_table!I186=1,TRUE,FALSE))</f>
        <v>true</v>
      </c>
      <c r="G186" t="str">
        <f>SUBSTITUTE(SUBSTITUTE(orig_e_resources_table!O186,CHAR(13),""),CHAR(10),"")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c r="I186" t="str">
        <f t="shared" si="2"/>
        <v/>
      </c>
    </row>
    <row r="187" spans="1:9" x14ac:dyDescent="0.25">
      <c r="A187">
        <v>186</v>
      </c>
      <c r="B187" t="str">
        <f>orig_e_resources_table!B187</f>
        <v>Solid State and Superconductivity Abstracts</v>
      </c>
      <c r="C187" t="str">
        <f>IF(orig_e_resources_table!C187="","",orig_e_resources_table!C187)</f>
        <v/>
      </c>
      <c r="D187" t="str">
        <f>orig_e_resources_table!D187</f>
        <v>http://www.csa.com/htbin/dbrng.cgi?username=paulg&amp;access=paulg20&amp;db=solid-state-set-c</v>
      </c>
      <c r="E187" t="str">
        <f>LOWER(IF(orig_e_resources_table!F187=1,TRUE,FALSE))</f>
        <v>false</v>
      </c>
      <c r="F187" t="str">
        <f>LOWER(IF(orig_e_resources_table!I187=1,TRUE,FALSE))</f>
        <v>true</v>
      </c>
      <c r="G187" t="str">
        <f>SUBSTITUTE(SUBSTITUTE(orig_e_resources_table!O187,CHAR(13),""),CHAR(10),"")</f>
        <v>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v>
      </c>
      <c r="I187" t="str">
        <f t="shared" si="2"/>
        <v/>
      </c>
    </row>
    <row r="188" spans="1:9" x14ac:dyDescent="0.25">
      <c r="A188">
        <v>187</v>
      </c>
      <c r="B188" t="str">
        <f>orig_e_resources_table!B188</f>
        <v>SPIRES-HEP</v>
      </c>
      <c r="C188" t="str">
        <f>IF(orig_e_resources_table!C188="","",orig_e_resources_table!C188)</f>
        <v>High-Energy Physics Literature Database</v>
      </c>
      <c r="D188" t="str">
        <f>orig_e_resources_table!D188</f>
        <v>http://www.slac.stanford.edu/spires/hep/</v>
      </c>
      <c r="E188" t="str">
        <f>LOWER(IF(orig_e_resources_table!F188=1,TRUE,FALSE))</f>
        <v>true</v>
      </c>
      <c r="F188" t="str">
        <f>LOWER(IF(orig_e_resources_table!I188=1,TRUE,FALSE))</f>
        <v>false</v>
      </c>
      <c r="G188" t="str">
        <f>SUBSTITUTE(SUBSTITUTE(orig_e_resources_table!O188,CHAR(13),""),CHAR(10),"")</f>
        <v>More than 500,000 high-energy physics related articles, including journal papers, preprints, e-prints, technical reports, conference papers and theses, comprehensively indexed by the SLAC and DESY libraries since 1974.</v>
      </c>
      <c r="I188" t="str">
        <f t="shared" si="2"/>
        <v>xxx</v>
      </c>
    </row>
    <row r="189" spans="1:9" x14ac:dyDescent="0.25">
      <c r="A189">
        <v>188</v>
      </c>
      <c r="B189" t="str">
        <f>orig_e_resources_table!B189</f>
        <v>SpringerLink</v>
      </c>
      <c r="C189" t="str">
        <f>IF(orig_e_resources_table!C189="","",orig_e_resources_table!C189)</f>
        <v/>
      </c>
      <c r="D189" t="str">
        <f>orig_e_resources_table!D189</f>
        <v>http://www.springerlink.com/home/main.mpx</v>
      </c>
      <c r="E189" t="str">
        <f>LOWER(IF(orig_e_resources_table!F189=1,TRUE,FALSE))</f>
        <v>true</v>
      </c>
      <c r="F189" t="str">
        <f>LOWER(IF(orig_e_resources_table!I189=1,TRUE,FALSE))</f>
        <v>true</v>
      </c>
      <c r="G189" t="str">
        <f>SUBSTITUTE(SUBSTITUTE(orig_e_resources_table!O189,CHAR(13),""),CHAR(10),"")</f>
        <v>Provides electronic access to the complete contents of a growing collection of SpringerLink journals in subjects including Mathematics and Computer Science (formerly Kluwer Journals).</v>
      </c>
      <c r="I189" t="str">
        <f t="shared" si="2"/>
        <v>xxx</v>
      </c>
    </row>
    <row r="190" spans="1:9" x14ac:dyDescent="0.25">
      <c r="A190">
        <v>189</v>
      </c>
      <c r="B190" t="str">
        <f>orig_e_resources_table!B190</f>
        <v>State and County QuickFacts</v>
      </c>
      <c r="C190" t="str">
        <f>IF(orig_e_resources_table!C190="","",orig_e_resources_table!C190)</f>
        <v/>
      </c>
      <c r="D190" t="str">
        <f>orig_e_resources_table!D190</f>
        <v>http://quickfacts.census.gov/qfd/</v>
      </c>
      <c r="E190" t="str">
        <f>LOWER(IF(orig_e_resources_table!F190=1,TRUE,FALSE))</f>
        <v>true</v>
      </c>
      <c r="F190" t="str">
        <f>LOWER(IF(orig_e_resources_table!I190=1,TRUE,FALSE))</f>
        <v>false</v>
      </c>
      <c r="G190" t="str">
        <f>SUBSTITUTE(SUBSTITUTE(orig_e_resources_table!O190,CHAR(13),""),CHAR(10),"")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c r="I190" t="str">
        <f t="shared" si="2"/>
        <v>xxx</v>
      </c>
    </row>
    <row r="191" spans="1:9" x14ac:dyDescent="0.25">
      <c r="A191">
        <v>190</v>
      </c>
      <c r="B191" t="str">
        <f>orig_e_resources_table!B191</f>
        <v>Stat-USA</v>
      </c>
      <c r="C191" t="str">
        <f>IF(orig_e_resources_table!C191="","",orig_e_resources_table!C191)</f>
        <v/>
      </c>
      <c r="D191" t="str">
        <f>orig_e_resources_table!D191</f>
        <v>http://www.stat-usa.gov/</v>
      </c>
      <c r="E191" t="str">
        <f>LOWER(IF(orig_e_resources_table!F191=1,TRUE,FALSE))</f>
        <v>false</v>
      </c>
      <c r="F191" t="str">
        <f>LOWER(IF(orig_e_resources_table!I191=1,TRUE,FALSE))</f>
        <v>false</v>
      </c>
      <c r="G191" t="str">
        <f>SUBSTITUTE(SUBSTITUTE(orig_e_resources_table!O191,CHAR(13),""),CHAR(10),"")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c r="I191" t="str">
        <f t="shared" si="2"/>
        <v/>
      </c>
    </row>
    <row r="192" spans="1:9" x14ac:dyDescent="0.25">
      <c r="A192">
        <v>191</v>
      </c>
      <c r="B192" t="str">
        <f>orig_e_resources_table!B192</f>
        <v>Sustainability Science Abstracts</v>
      </c>
      <c r="C192" t="str">
        <f>IF(orig_e_resources_table!C192="","",orig_e_resources_table!C192)</f>
        <v/>
      </c>
      <c r="D192" t="str">
        <f>orig_e_resources_table!D192</f>
        <v>http://www.csa.com/htbin/dbrng.cgi?username=paulg&amp;access=paulg20&amp;db=sustain-set-c.php</v>
      </c>
      <c r="E192" t="str">
        <f>LOWER(IF(orig_e_resources_table!F192=1,TRUE,FALSE))</f>
        <v>false</v>
      </c>
      <c r="F192" t="str">
        <f>LOWER(IF(orig_e_resources_table!I192=1,TRUE,FALSE))</f>
        <v>true</v>
      </c>
      <c r="G192" t="str">
        <f>SUBSTITUTE(SUBSTITUTE(orig_e_resources_table!O192,CHAR(13),""),CHAR(10),"")</f>
        <v>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v>
      </c>
      <c r="I192" t="str">
        <f t="shared" si="2"/>
        <v/>
      </c>
    </row>
    <row r="193" spans="1:9" x14ac:dyDescent="0.25">
      <c r="A193">
        <v>192</v>
      </c>
      <c r="B193" t="str">
        <f>orig_e_resources_table!B193</f>
        <v>Teacher Reference Center</v>
      </c>
      <c r="C193" t="str">
        <f>IF(orig_e_resources_table!C193="","",orig_e_resources_table!C193)</f>
        <v/>
      </c>
      <c r="D193" t="str">
        <f>orig_e_resources_table!D193</f>
        <v>http://search.EBSCOhost.com/login.asp?profile=web&amp;defaultdb=trh</v>
      </c>
      <c r="E193" t="str">
        <f>LOWER(IF(orig_e_resources_table!F193=1,TRUE,FALSE))</f>
        <v>true</v>
      </c>
      <c r="F193" t="str">
        <f>LOWER(IF(orig_e_resources_table!I193=1,TRUE,FALSE))</f>
        <v>true</v>
      </c>
      <c r="G193" t="str">
        <f>SUBSTITUTE(SUBSTITUTE(orig_e_resources_table!O193,CHAR(13),""),CHAR(10),"")</f>
        <v>Provides indexing and abstracts for more than 270 of the most popular teacher and administrator journals and magazines to assist professional educators.</v>
      </c>
      <c r="I193" t="str">
        <f t="shared" si="2"/>
        <v>xxx</v>
      </c>
    </row>
    <row r="194" spans="1:9" x14ac:dyDescent="0.25">
      <c r="A194">
        <v>193</v>
      </c>
      <c r="B194" t="str">
        <f>orig_e_resources_table!B194</f>
        <v>Thesaurus.com</v>
      </c>
      <c r="C194" t="str">
        <f>IF(orig_e_resources_table!C194="","",orig_e_resources_table!C194)</f>
        <v/>
      </c>
      <c r="D194" t="str">
        <f>orig_e_resources_table!D194</f>
        <v>http://thesaurus.reference.com/</v>
      </c>
      <c r="E194" t="str">
        <f>LOWER(IF(orig_e_resources_table!F194=1,TRUE,FALSE))</f>
        <v>true</v>
      </c>
      <c r="F194" t="str">
        <f>LOWER(IF(orig_e_resources_table!I194=1,TRUE,FALSE))</f>
        <v>false</v>
      </c>
      <c r="G194" t="str">
        <f>SUBSTITUTE(SUBSTITUTE(orig_e_resources_table!O194,CHAR(13),""),CHAR(10),"")</f>
        <v>Thesaurus.com is produced by Lexico Publishing Group, LLC, a provider of language reference products and services on the Internet. The thesaurus that appears on this site is Roget's II: The New Thesaurus.</v>
      </c>
      <c r="I194" t="str">
        <f t="shared" si="2"/>
        <v>xxx</v>
      </c>
    </row>
    <row r="195" spans="1:9" x14ac:dyDescent="0.25">
      <c r="A195">
        <v>194</v>
      </c>
      <c r="B195" t="str">
        <f>orig_e_resources_table!B195</f>
        <v>ThomasNet</v>
      </c>
      <c r="C195" t="str">
        <f>IF(orig_e_resources_table!C195="","",orig_e_resources_table!C195)</f>
        <v/>
      </c>
      <c r="D195" t="str">
        <f>orig_e_resources_table!D195</f>
        <v>http://www.thomasnet.com/</v>
      </c>
      <c r="E195" t="str">
        <f>LOWER(IF(orig_e_resources_table!F195=1,TRUE,FALSE))</f>
        <v>true</v>
      </c>
      <c r="F195" t="str">
        <f>LOWER(IF(orig_e_resources_table!I195=1,TRUE,FALSE))</f>
        <v>false</v>
      </c>
      <c r="G195" t="str">
        <f>SUBSTITUTE(SUBSTITUTE(orig_e_resources_table!O195,CHAR(13),""),CHAR(10),"")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c r="I195" t="str">
        <f t="shared" ref="I195:I258" si="3">IF(E195="true","xxx","")</f>
        <v>xxx</v>
      </c>
    </row>
    <row r="196" spans="1:9" x14ac:dyDescent="0.25">
      <c r="A196">
        <v>195</v>
      </c>
      <c r="B196" t="str">
        <f>orig_e_resources_table!B196</f>
        <v>Toxicology Abstracts</v>
      </c>
      <c r="C196" t="str">
        <f>IF(orig_e_resources_table!C196="","",orig_e_resources_table!C196)</f>
        <v/>
      </c>
      <c r="D196" t="str">
        <f>orig_e_resources_table!D196</f>
        <v>http://www.csa.com/htbin/dbrng.cgi?username=paulg&amp;access=paulg20&amp;db=toxicology-set-c</v>
      </c>
      <c r="E196" t="str">
        <f>LOWER(IF(orig_e_resources_table!F196=1,TRUE,FALSE))</f>
        <v>false</v>
      </c>
      <c r="F196" t="str">
        <f>LOWER(IF(orig_e_resources_table!I196=1,TRUE,FALSE))</f>
        <v>true</v>
      </c>
      <c r="G196" t="str">
        <f>SUBSTITUTE(SUBSTITUTE(orig_e_resources_table!O196,CHAR(13),""),CHAR(10),"")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c r="I196" t="str">
        <f t="shared" si="3"/>
        <v/>
      </c>
    </row>
    <row r="197" spans="1:9" x14ac:dyDescent="0.25">
      <c r="A197">
        <v>196</v>
      </c>
      <c r="B197" t="str">
        <f>orig_e_resources_table!B197</f>
        <v>TOXLINE</v>
      </c>
      <c r="C197" t="str">
        <f>IF(orig_e_resources_table!C197="","",orig_e_resources_table!C197)</f>
        <v/>
      </c>
      <c r="D197" t="str">
        <f>orig_e_resources_table!D197</f>
        <v>http://www.csa.com/htbin/dbrng.cgi?username=paulg&amp;access=paulg20&amp;db=toxline-set-c</v>
      </c>
      <c r="E197" t="str">
        <f>LOWER(IF(orig_e_resources_table!F197=1,TRUE,FALSE))</f>
        <v>false</v>
      </c>
      <c r="F197" t="str">
        <f>LOWER(IF(orig_e_resources_table!I197=1,TRUE,FALSE))</f>
        <v>true</v>
      </c>
      <c r="G197" t="str">
        <f>SUBSTITUTE(SUBSTITUTE(orig_e_resources_table!O197,CHAR(13),""),CHAR(10),"")</f>
        <v>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v>
      </c>
      <c r="I197" t="str">
        <f t="shared" si="3"/>
        <v/>
      </c>
    </row>
    <row r="198" spans="1:9" x14ac:dyDescent="0.25">
      <c r="A198">
        <v>197</v>
      </c>
      <c r="B198" t="str">
        <f>orig_e_resources_table!B198</f>
        <v>TRIS - NTL Integrated Search</v>
      </c>
      <c r="C198" t="str">
        <f>IF(orig_e_resources_table!C198="","",orig_e_resources_table!C198)</f>
        <v>Transportation Research Information Services</v>
      </c>
      <c r="D198" t="str">
        <f>orig_e_resources_table!D198</f>
        <v>http://ntlsearch.bts.gov/tris/index.do</v>
      </c>
      <c r="E198" t="str">
        <f>LOWER(IF(orig_e_resources_table!F198=1,TRUE,FALSE))</f>
        <v>true</v>
      </c>
      <c r="F198" t="str">
        <f>LOWER(IF(orig_e_resources_table!I198=1,TRUE,FALSE))</f>
        <v>false</v>
      </c>
      <c r="G198" t="str">
        <f>SUBSTITUTE(SUBSTITUTE(orig_e_resources_table!O198,CHAR(13),""),CHAR(10),"")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c r="I198" t="str">
        <f t="shared" si="3"/>
        <v>xxx</v>
      </c>
    </row>
    <row r="199" spans="1:9" x14ac:dyDescent="0.25">
      <c r="A199">
        <v>198</v>
      </c>
      <c r="B199" t="str">
        <f>orig_e_resources_table!B199</f>
        <v xml:space="preserve">U.S. Supreme Court Records and Briefs, 1832-1978 </v>
      </c>
      <c r="C199" t="str">
        <f>IF(orig_e_resources_table!C199="","",orig_e_resources_table!C199)</f>
        <v/>
      </c>
      <c r="D199" t="str">
        <f>orig_e_resources_table!D199</f>
        <v>http://find.galegroup.com/menu/start?userGroupName=chic40381&amp;prod=SCRB</v>
      </c>
      <c r="E199" t="str">
        <f>LOWER(IF(orig_e_resources_table!F199=1,TRUE,FALSE))</f>
        <v>true</v>
      </c>
      <c r="F199" t="str">
        <f>LOWER(IF(orig_e_resources_table!I199=1,TRUE,FALSE))</f>
        <v>true</v>
      </c>
      <c r="G199" t="str">
        <f>SUBSTITUTE(SUBSTITUTE(orig_e_resources_table!O199,CHAR(13),""),CHAR(10),"")</f>
        <v>Containing nearly 11 million pages of records and briefs brought before the U.S. Supreme Court in the period 1832-1978, this product provides an essential primary source tool for the study of all aspects of American history as well as the U.S. judicial system.</v>
      </c>
      <c r="I199" t="str">
        <f t="shared" si="3"/>
        <v>xxx</v>
      </c>
    </row>
    <row r="200" spans="1:9" x14ac:dyDescent="0.25">
      <c r="A200">
        <v>199</v>
      </c>
      <c r="B200" t="str">
        <f>orig_e_resources_table!B200</f>
        <v>University of Virginia Electronic Text Center Collections</v>
      </c>
      <c r="C200" t="str">
        <f>IF(orig_e_resources_table!C200="","",orig_e_resources_table!C200)</f>
        <v/>
      </c>
      <c r="D200" t="str">
        <f>orig_e_resources_table!D200</f>
        <v>http://etext.lib.virginia.edu/collections/search/</v>
      </c>
      <c r="E200" t="str">
        <f>LOWER(IF(orig_e_resources_table!F200=1,TRUE,FALSE))</f>
        <v>true</v>
      </c>
      <c r="F200" t="str">
        <f>LOWER(IF(orig_e_resources_table!I200=1,TRUE,FALSE))</f>
        <v>false</v>
      </c>
      <c r="G200" t="str">
        <f>SUBSTITUTE(SUBSTITUTE(orig_e_resources_table!O200,CHAR(13),""),CHAR(10),"")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c r="I200" t="str">
        <f t="shared" si="3"/>
        <v>xxx</v>
      </c>
    </row>
    <row r="201" spans="1:9" x14ac:dyDescent="0.25">
      <c r="A201">
        <v>200</v>
      </c>
      <c r="B201" t="str">
        <f>orig_e_resources_table!B201</f>
        <v>USA Trade Online</v>
      </c>
      <c r="C201" t="str">
        <f>IF(orig_e_resources_table!C201="","",orig_e_resources_table!C201)</f>
        <v/>
      </c>
      <c r="D201" t="str">
        <f>orig_e_resources_table!D201</f>
        <v>http://www.usatradeonline.gov/</v>
      </c>
      <c r="E201" t="str">
        <f>LOWER(IF(orig_e_resources_table!F201=1,TRUE,FALSE))</f>
        <v>true</v>
      </c>
      <c r="F201" t="str">
        <f>LOWER(IF(orig_e_resources_table!I201=1,TRUE,FALSE))</f>
        <v>false</v>
      </c>
      <c r="G201" t="str">
        <f>SUBSTITUTE(SUBSTITUTE(orig_e_resources_table!O201,CHAR(13),""),CHAR(10),"")</f>
        <v>The Foreign Trade Division of the U.S. Census Bureau and STAT-USA compile accurate and timely U.S. Merchandise Trade data, providing export and import information on more than 18,000 commodities worldwide.</v>
      </c>
      <c r="I201" t="str">
        <f t="shared" si="3"/>
        <v>xxx</v>
      </c>
    </row>
    <row r="202" spans="1:9" x14ac:dyDescent="0.25">
      <c r="A202">
        <v>201</v>
      </c>
      <c r="B202" t="str">
        <f>orig_e_resources_table!B202</f>
        <v>USPTO</v>
      </c>
      <c r="C202" t="str">
        <f>IF(orig_e_resources_table!C202="","",orig_e_resources_table!C202)</f>
        <v>U.S. Patent and Trademark Office</v>
      </c>
      <c r="D202" t="str">
        <f>orig_e_resources_table!D202</f>
        <v>http://www.uspto.gov/</v>
      </c>
      <c r="E202" t="str">
        <f>LOWER(IF(orig_e_resources_table!F202=1,TRUE,FALSE))</f>
        <v>true</v>
      </c>
      <c r="F202" t="str">
        <f>LOWER(IF(orig_e_resources_table!I202=1,TRUE,FALSE))</f>
        <v>false</v>
      </c>
      <c r="G202" t="str">
        <f>SUBSTITUTE(SUBSTITUTE(orig_e_resources_table!O202,CHAR(13),""),CHAR(10),"")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v>
      </c>
      <c r="I202" t="str">
        <f t="shared" si="3"/>
        <v>xxx</v>
      </c>
    </row>
    <row r="203" spans="1:9" x14ac:dyDescent="0.25">
      <c r="A203">
        <v>202</v>
      </c>
      <c r="B203" t="str">
        <f>orig_e_resources_table!B203</f>
        <v>Virology and AIDS Abstracts</v>
      </c>
      <c r="C203" t="str">
        <f>IF(orig_e_resources_table!C203="","",orig_e_resources_table!C203)</f>
        <v/>
      </c>
      <c r="D203" t="str">
        <f>orig_e_resources_table!D203</f>
        <v>http://www.csa.com/htbin/dbrng.cgi?username=paulg&amp;access=paulg20&amp;db=virology-set-c</v>
      </c>
      <c r="E203" t="str">
        <f>LOWER(IF(orig_e_resources_table!F203=1,TRUE,FALSE))</f>
        <v>false</v>
      </c>
      <c r="F203" t="str">
        <f>LOWER(IF(orig_e_resources_table!I203=1,TRUE,FALSE))</f>
        <v>true</v>
      </c>
      <c r="G203" t="str">
        <f>SUBSTITUTE(SUBSTITUTE(orig_e_resources_table!O203,CHAR(13),""),CHAR(10),"")</f>
        <v>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v>
      </c>
      <c r="I203" t="str">
        <f t="shared" si="3"/>
        <v/>
      </c>
    </row>
    <row r="204" spans="1:9" x14ac:dyDescent="0.25">
      <c r="A204">
        <v>203</v>
      </c>
      <c r="B204" t="str">
        <f>orig_e_resources_table!B204</f>
        <v>Voices of the Holocaust</v>
      </c>
      <c r="C204" t="str">
        <f>IF(orig_e_resources_table!C204="","",orig_e_resources_table!C204)</f>
        <v/>
      </c>
      <c r="D204" t="str">
        <f>orig_e_resources_table!D204</f>
        <v>http://voices.iit.edu/</v>
      </c>
      <c r="E204" t="str">
        <f>LOWER(IF(orig_e_resources_table!F204=1,TRUE,FALSE))</f>
        <v>true</v>
      </c>
      <c r="F204" t="str">
        <f>LOWER(IF(orig_e_resources_table!I204=1,TRUE,FALSE))</f>
        <v>false</v>
      </c>
      <c r="G204" t="str">
        <f>SUBSTITUTE(SUBSTITUTE(orig_e_resources_table!O204,CHAR(13),""),CHAR(10),"")</f>
        <v>Digital collection offering access to text and audio of first-hand interviews conducted in 1946 with victims of the Nazi holocaust by former IIT professor David P. Boder.</v>
      </c>
      <c r="I204" t="str">
        <f t="shared" si="3"/>
        <v>xxx</v>
      </c>
    </row>
    <row r="205" spans="1:9" x14ac:dyDescent="0.25">
      <c r="A205">
        <v>204</v>
      </c>
      <c r="B205" t="str">
        <f>orig_e_resources_table!B205</f>
        <v>Wall Street Journal</v>
      </c>
      <c r="C205" t="str">
        <f>IF(orig_e_resources_table!C205="","",orig_e_resources_table!C205)</f>
        <v/>
      </c>
      <c r="D205" t="str">
        <f>orig_e_resources_table!D205</f>
        <v>http://online.wsj.com/</v>
      </c>
      <c r="E205" t="str">
        <f>LOWER(IF(orig_e_resources_table!F205=1,TRUE,FALSE))</f>
        <v>true</v>
      </c>
      <c r="F205" t="str">
        <f>LOWER(IF(orig_e_resources_table!I205=1,TRUE,FALSE))</f>
        <v>false</v>
      </c>
      <c r="G205" t="str">
        <f>SUBSTITUTE(SUBSTITUTE(orig_e_resources_table!O205,CHAR(13),""),CHAR(10),"")</f>
        <v xml:space="preserve">Access all WSJ content online from the Dow Jones website in the original online layout.Online coverage of the popular business newspaper, including analysis tools and news from the past four years. </v>
      </c>
      <c r="I205" t="str">
        <f t="shared" si="3"/>
        <v>xxx</v>
      </c>
    </row>
    <row r="206" spans="1:9" x14ac:dyDescent="0.25">
      <c r="A206">
        <v>205</v>
      </c>
      <c r="B206" t="str">
        <f>orig_e_resources_table!B206</f>
        <v>Water Resources Abstracts</v>
      </c>
      <c r="C206" t="str">
        <f>IF(orig_e_resources_table!C206="","",orig_e_resources_table!C206)</f>
        <v/>
      </c>
      <c r="D206" t="str">
        <f>orig_e_resources_table!D206</f>
        <v>http://www.csa.com/htbin/dbrng.cgi?username=paulg&amp;access=paulg20&amp;db=water-resources-set-c</v>
      </c>
      <c r="E206" t="str">
        <f>LOWER(IF(orig_e_resources_table!F206=1,TRUE,FALSE))</f>
        <v>false</v>
      </c>
      <c r="F206" t="str">
        <f>LOWER(IF(orig_e_resources_table!I206=1,TRUE,FALSE))</f>
        <v>true</v>
      </c>
      <c r="G206" t="str">
        <f>SUBSTITUTE(SUBSTITUTE(orig_e_resources_table!O206,CHAR(13),""),CHAR(10),"")</f>
        <v>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v>
      </c>
      <c r="I206" t="str">
        <f t="shared" si="3"/>
        <v/>
      </c>
    </row>
    <row r="207" spans="1:9" x14ac:dyDescent="0.25">
      <c r="A207">
        <v>206</v>
      </c>
      <c r="B207" t="str">
        <f>orig_e_resources_table!B207</f>
        <v>Web of Science</v>
      </c>
      <c r="C207" t="str">
        <f>IF(orig_e_resources_table!C207="","",orig_e_resources_table!C207)</f>
        <v/>
      </c>
      <c r="D207" t="str">
        <f>orig_e_resources_table!D207</f>
        <v>http://apps.webofknowledge.com/WOS_GeneralSearch_input.do?product=WOS&amp;search_mode=GeneralSearch</v>
      </c>
      <c r="E207" t="str">
        <f>LOWER(IF(orig_e_resources_table!F207=1,TRUE,FALSE))</f>
        <v>true</v>
      </c>
      <c r="F207" t="str">
        <f>LOWER(IF(orig_e_resources_table!I207=1,TRUE,FALSE))</f>
        <v>true</v>
      </c>
      <c r="G207" t="str">
        <f>SUBSTITUTE(SUBSTITUTE(orig_e_resources_table!O207,CHAR(13),""),CHAR(10),"")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c r="I207" t="str">
        <f t="shared" si="3"/>
        <v>xxx</v>
      </c>
    </row>
    <row r="208" spans="1:9" x14ac:dyDescent="0.25">
      <c r="A208">
        <v>207</v>
      </c>
      <c r="B208" t="str">
        <f>orig_e_resources_table!B208</f>
        <v>WELDASEARCH</v>
      </c>
      <c r="C208" t="str">
        <f>IF(orig_e_resources_table!C208="","",orig_e_resources_table!C208)</f>
        <v/>
      </c>
      <c r="D208" t="str">
        <f>orig_e_resources_table!D208</f>
        <v>http://www.csa.com/htbin/dbrng.cgi?username=paulg&amp;access=paulg20&amp;db=weldasearch-set-c</v>
      </c>
      <c r="E208" t="str">
        <f>LOWER(IF(orig_e_resources_table!F208=1,TRUE,FALSE))</f>
        <v>false</v>
      </c>
      <c r="F208" t="str">
        <f>LOWER(IF(orig_e_resources_table!I208=1,TRUE,FALSE))</f>
        <v>true</v>
      </c>
      <c r="G208" t="str">
        <f>SUBSTITUTE(SUBSTITUTE(orig_e_resources_table!O208,CHAR(13),""),CHAR(10),"")</f>
        <v>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v>
      </c>
      <c r="I208" t="str">
        <f t="shared" si="3"/>
        <v/>
      </c>
    </row>
    <row r="209" spans="1:9" x14ac:dyDescent="0.25">
      <c r="A209">
        <v>208</v>
      </c>
      <c r="B209" t="str">
        <f>orig_e_resources_table!B209</f>
        <v>Wiley InterScience</v>
      </c>
      <c r="C209" t="str">
        <f>IF(orig_e_resources_table!C209="","",orig_e_resources_table!C209)</f>
        <v/>
      </c>
      <c r="D209" t="str">
        <f>orig_e_resources_table!D209</f>
        <v>http://www3.interscience.wiley.com/browse/?type=JOURNAL&amp;titles=1</v>
      </c>
      <c r="E209" t="str">
        <f>LOWER(IF(orig_e_resources_table!F209=1,TRUE,FALSE))</f>
        <v>true</v>
      </c>
      <c r="F209" t="str">
        <f>LOWER(IF(orig_e_resources_table!I209=1,TRUE,FALSE))</f>
        <v>true</v>
      </c>
      <c r="G209" t="str">
        <f>SUBSTITUTE(SUBSTITUTE(orig_e_resources_table!O209,CHAR(13),""),CHAR(10),"")</f>
        <v>Electronic access to over 300 leading scientific, technical, medical, and professional journals, plus major reference works, the acclaimed Current Protocols laboratory manuals, and the full text of select Wiley print books online.</v>
      </c>
      <c r="I209" t="str">
        <f t="shared" si="3"/>
        <v>xxx</v>
      </c>
    </row>
    <row r="210" spans="1:9" x14ac:dyDescent="0.25">
      <c r="A210">
        <v>209</v>
      </c>
      <c r="B210" t="str">
        <f>orig_e_resources_table!B210</f>
        <v>WilsonSelect</v>
      </c>
      <c r="C210" t="str">
        <f>IF(orig_e_resources_table!C210="","",orig_e_resources_table!C210)</f>
        <v/>
      </c>
      <c r="D210" t="str">
        <f>orig_e_resources_table!D210</f>
        <v>http://newfirstsearch.oclc.org/dbname=WilsonSelectPlus;FSIP</v>
      </c>
      <c r="E210" t="str">
        <f>LOWER(IF(orig_e_resources_table!F210=1,TRUE,FALSE))</f>
        <v>false</v>
      </c>
      <c r="F210" t="str">
        <f>LOWER(IF(orig_e_resources_table!I210=1,TRUE,FALSE))</f>
        <v>true</v>
      </c>
      <c r="G210" t="str">
        <f>SUBSTITUTE(SUBSTITUTE(orig_e_resources_table!O210,CHAR(13),""),CHAR(10),"")</f>
        <v>This database is comprised of records from the following H.W. Wilson databases: Readers' Guide Abstracts, Social Sciences Abstracts, Humanities Abstracts, General Science Abstracts and Wilson Business Abstracts.</v>
      </c>
      <c r="I210" t="str">
        <f t="shared" si="3"/>
        <v/>
      </c>
    </row>
    <row r="211" spans="1:9" x14ac:dyDescent="0.25">
      <c r="A211">
        <v>210</v>
      </c>
      <c r="B211" t="str">
        <f>orig_e_resources_table!B211</f>
        <v>World Almanac</v>
      </c>
      <c r="C211" t="str">
        <f>IF(orig_e_resources_table!C211="","",orig_e_resources_table!C211)</f>
        <v/>
      </c>
      <c r="D211" t="str">
        <f>orig_e_resources_table!D211</f>
        <v>http://newfirstsearch.oclc.org/dbname=WorldAlmanac;FSIP</v>
      </c>
      <c r="E211" t="str">
        <f>LOWER(IF(orig_e_resources_table!F211=1,TRUE,FALSE))</f>
        <v>true</v>
      </c>
      <c r="F211" t="str">
        <f>LOWER(IF(orig_e_resources_table!I211=1,TRUE,FALSE))</f>
        <v>true</v>
      </c>
      <c r="G211" t="str">
        <f>SUBSTITUTE(SUBSTITUTE(orig_e_resources_table!O211,CHAR(13),""),CHAR(10),"")</f>
        <v>Online reference source featuring content from Funk &amp;amp; Wagnalls New Encyclopedia and four almanacs.</v>
      </c>
      <c r="I211" t="str">
        <f t="shared" si="3"/>
        <v>xxx</v>
      </c>
    </row>
    <row r="212" spans="1:9" x14ac:dyDescent="0.25">
      <c r="A212">
        <v>211</v>
      </c>
      <c r="B212" t="str">
        <f>orig_e_resources_table!B212</f>
        <v>WorldCat</v>
      </c>
      <c r="C212" t="str">
        <f>IF(orig_e_resources_table!C212="","",orig_e_resources_table!C212)</f>
        <v/>
      </c>
      <c r="D212" t="str">
        <f>orig_e_resources_table!D212</f>
        <v>http://newfirstsearch.oclc.org/dbname=WorldCat;FSIP</v>
      </c>
      <c r="E212" t="str">
        <f>LOWER(IF(orig_e_resources_table!F212=1,TRUE,FALSE))</f>
        <v>true</v>
      </c>
      <c r="F212" t="str">
        <f>LOWER(IF(orig_e_resources_table!I212=1,TRUE,FALSE))</f>
        <v>true</v>
      </c>
      <c r="G212" t="str">
        <f>SUBSTITUTE(SUBSTITUTE(orig_e_resources_table!O212,CHAR(13),""),CHAR(10),"")</f>
        <v>WorldCat is an online catalog that contains the holdings of more than 8,000 libraries worldwide. You can place requests in WorldCat for materials not owned by IIT or I-Share Libraries.</v>
      </c>
      <c r="I212" t="str">
        <f t="shared" si="3"/>
        <v>xxx</v>
      </c>
    </row>
    <row r="213" spans="1:9" x14ac:dyDescent="0.25">
      <c r="A213">
        <v>212</v>
      </c>
      <c r="B213" t="str">
        <f>orig_e_resources_table!B213</f>
        <v>National Geographic MapMachine</v>
      </c>
      <c r="C213" t="str">
        <f>IF(orig_e_resources_table!C213="","",orig_e_resources_table!C213)</f>
        <v>NULL</v>
      </c>
      <c r="D213" t="str">
        <f>orig_e_resources_table!D213</f>
        <v>http://plasma.nationalgeographic.com/mapmachine/index.html</v>
      </c>
      <c r="E213" t="str">
        <f>LOWER(IF(orig_e_resources_table!F213=1,TRUE,FALSE))</f>
        <v>true</v>
      </c>
      <c r="F213" t="str">
        <f>LOWER(IF(orig_e_resources_table!I213=1,TRUE,FALSE))</f>
        <v>false</v>
      </c>
      <c r="G213" t="str">
        <f>SUBSTITUTE(SUBSTITUTE(orig_e_resources_table!O213,CHAR(13),""),CHAR(10),"")</f>
        <v>Satellite photos, street maps, and more are available in this online atlas.</v>
      </c>
      <c r="I213" t="str">
        <f t="shared" si="3"/>
        <v>xxx</v>
      </c>
    </row>
    <row r="214" spans="1:9" x14ac:dyDescent="0.25">
      <c r="A214">
        <v>213</v>
      </c>
      <c r="B214" t="str">
        <f>orig_e_resources_table!B214</f>
        <v>Government Documents Online Map Directory</v>
      </c>
      <c r="C214" t="str">
        <f>IF(orig_e_resources_table!C214="","",orig_e_resources_table!C214)</f>
        <v>NULL</v>
      </c>
      <c r="D214" t="str">
        <f>orig_e_resources_table!D214</f>
        <v>http://guides.library.iit.edu/content.php?pid=27903&amp;sid=322018</v>
      </c>
      <c r="E214" t="str">
        <f>LOWER(IF(orig_e_resources_table!F214=1,TRUE,FALSE))</f>
        <v>true</v>
      </c>
      <c r="F214" t="str">
        <f>LOWER(IF(orig_e_resources_table!I214=1,TRUE,FALSE))</f>
        <v>false</v>
      </c>
      <c r="G214" t="str">
        <f>SUBSTITUTE(SUBSTITUTE(orig_e_resources_table!O214,CHAR(13),""),CHAR(10),"")</f>
        <v>Comprehensive directory of web-based and print map resources. Maintained by the Galvin Library Government Documents Depository staff.</v>
      </c>
      <c r="I214" t="str">
        <f t="shared" si="3"/>
        <v>xxx</v>
      </c>
    </row>
    <row r="215" spans="1:9" x14ac:dyDescent="0.25">
      <c r="A215">
        <v>214</v>
      </c>
      <c r="B215" t="str">
        <f>orig_e_resources_table!B215</f>
        <v>World's Columbian Exposition of 1893</v>
      </c>
      <c r="C215" t="str">
        <f>IF(orig_e_resources_table!C215="","",orig_e_resources_table!C215)</f>
        <v>NULL</v>
      </c>
      <c r="D215" t="str">
        <f>orig_e_resources_table!D215</f>
        <v>http://columbus.gl.iit.edu/</v>
      </c>
      <c r="E215" t="str">
        <f>LOWER(IF(orig_e_resources_table!F215=1,TRUE,FALSE))</f>
        <v>true</v>
      </c>
      <c r="F215" t="str">
        <f>LOWER(IF(orig_e_resources_table!I215=1,TRUE,FALSE))</f>
        <v>false</v>
      </c>
      <c r="G215" t="str">
        <f>SUBSTITUTE(SUBSTITUTE(orig_e_resources_table!O215,CHAR(13),""),CHAR(10),"")</f>
        <v>An online collection of over 12,000 illustrations and full-text images from four rare nineteenth-century volumes about the Chicago World's Fair.</v>
      </c>
      <c r="I215" t="str">
        <f t="shared" si="3"/>
        <v>xxx</v>
      </c>
    </row>
    <row r="216" spans="1:9" x14ac:dyDescent="0.25">
      <c r="A216">
        <v>215</v>
      </c>
      <c r="B216" t="str">
        <f>orig_e_resources_table!B216</f>
        <v>IEEE Standards</v>
      </c>
      <c r="C216" t="str">
        <f>IF(orig_e_resources_table!C216="","",orig_e_resources_table!C216)</f>
        <v>Institute of Electrical and Electronics Engineers</v>
      </c>
      <c r="D216" t="str">
        <f>orig_e_resources_table!D216</f>
        <v>http://ieeexplore.ieee.org/xpl/standards.jsp</v>
      </c>
      <c r="E216" t="str">
        <f>LOWER(IF(orig_e_resources_table!F216=1,TRUE,FALSE))</f>
        <v>true</v>
      </c>
      <c r="F216" t="str">
        <f>LOWER(IF(orig_e_resources_table!I216=1,TRUE,FALSE))</f>
        <v>true</v>
      </c>
      <c r="G216" t="str">
        <f>SUBSTITUTE(SUBSTITUTE(orig_e_resources_table!O216,CHAR(13),""),CHAR(10),"")</f>
        <v>Online access to standards published by the Institute of Electrical and Electronics Engineers. Search by standard number, keyword, or industry.</v>
      </c>
      <c r="I216" t="str">
        <f t="shared" si="3"/>
        <v>xxx</v>
      </c>
    </row>
    <row r="217" spans="1:9" x14ac:dyDescent="0.25">
      <c r="A217">
        <v>216</v>
      </c>
      <c r="B217" t="str">
        <f>orig_e_resources_table!B217</f>
        <v>Galvin Library Public Administration Index</v>
      </c>
      <c r="C217" t="str">
        <f>IF(orig_e_resources_table!C217="","",orig_e_resources_table!C217)</f>
        <v>NULL</v>
      </c>
      <c r="D217" t="str">
        <f>orig_e_resources_table!D217</f>
        <v>http://guides.library.iit.edu/content.php?pid=27903&amp;sid=205275</v>
      </c>
      <c r="E217" t="str">
        <f>LOWER(IF(orig_e_resources_table!F217=1,TRUE,FALSE))</f>
        <v>true</v>
      </c>
      <c r="F217" t="str">
        <f>LOWER(IF(orig_e_resources_table!I217=1,TRUE,FALSE))</f>
        <v>false</v>
      </c>
      <c r="G217" t="str">
        <f>SUBSTITUTE(SUBSTITUTE(orig_e_resources_table!O217,CHAR(13),""),CHAR(10),"")</f>
        <v>Prepared by the Government Documents Depository staff at the Paul V. Galvin Library, this index provides access to the most widely used publicly available policy analysis and legislative websites.</v>
      </c>
      <c r="I217" t="str">
        <f t="shared" si="3"/>
        <v>xxx</v>
      </c>
    </row>
    <row r="218" spans="1:9" x14ac:dyDescent="0.25">
      <c r="A218">
        <v>217</v>
      </c>
      <c r="B218" t="str">
        <f>orig_e_resources_table!B218</f>
        <v>Business and Company Resource Center</v>
      </c>
      <c r="C218" t="str">
        <f>IF(orig_e_resources_table!C218="","",orig_e_resources_table!C218)</f>
        <v>NULL</v>
      </c>
      <c r="D218" t="str">
        <f>orig_e_resources_table!D218</f>
        <v>http://infotrac.galegroup.com/itweb/chic40381?db=BCRC</v>
      </c>
      <c r="E218" t="str">
        <f>LOWER(IF(orig_e_resources_table!F218=1,TRUE,FALSE))</f>
        <v>false</v>
      </c>
      <c r="F218" t="str">
        <f>LOWER(IF(orig_e_resources_table!I218=1,TRUE,FALSE))</f>
        <v>true</v>
      </c>
      <c r="G218" t="str">
        <f>SUBSTITUTE(SUBSTITUTE(orig_e_resources_table!O218,CHAR(13),""),CHAR(10),"")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c r="I218" t="str">
        <f t="shared" si="3"/>
        <v/>
      </c>
    </row>
    <row r="219" spans="1:9" x14ac:dyDescent="0.25">
      <c r="A219">
        <v>218</v>
      </c>
      <c r="B219" t="str">
        <f>orig_e_resources_table!B219</f>
        <v>Standard &amp;amp; Poor's NetAdvantage</v>
      </c>
      <c r="C219" t="str">
        <f>IF(orig_e_resources_table!C219="","",orig_e_resources_table!C219)</f>
        <v>NULL</v>
      </c>
      <c r="D219" t="str">
        <f>orig_e_resources_table!D219</f>
        <v>http://www.netadvantage.standardandpoors.com</v>
      </c>
      <c r="E219" t="str">
        <f>LOWER(IF(orig_e_resources_table!F219=1,TRUE,FALSE))</f>
        <v>false</v>
      </c>
      <c r="F219" t="str">
        <f>LOWER(IF(orig_e_resources_table!I219=1,TRUE,FALSE))</f>
        <v>true</v>
      </c>
      <c r="G219" t="str">
        <f>SUBSTITUTE(SUBSTITUTE(orig_e_resources_table!O219,CHAR(13),""),CHAR(10),"")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c r="I219" t="str">
        <f t="shared" si="3"/>
        <v/>
      </c>
    </row>
    <row r="220" spans="1:9" x14ac:dyDescent="0.25">
      <c r="A220">
        <v>219</v>
      </c>
      <c r="B220" t="str">
        <f>orig_e_resources_table!B220</f>
        <v>PsycEXTRA</v>
      </c>
      <c r="C220" t="str">
        <f>IF(orig_e_resources_table!C220="","",orig_e_resources_table!C220)</f>
        <v>NULL</v>
      </c>
      <c r="D220" t="str">
        <f>orig_e_resources_table!D220</f>
        <v>http://search.ebscohost.com/login.asp?profile=web&amp;defaultdb=pxh</v>
      </c>
      <c r="E220" t="str">
        <f>LOWER(IF(orig_e_resources_table!F220=1,TRUE,FALSE))</f>
        <v>true</v>
      </c>
      <c r="F220" t="str">
        <f>LOWER(IF(orig_e_resources_table!I220=1,TRUE,FALSE))</f>
        <v>true</v>
      </c>
      <c r="G220" t="str">
        <f>SUBSTITUTE(SUBSTITUTE(orig_e_resources_table!O220,CHAR(13),""),CHAR(10),"")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c r="I220" t="str">
        <f t="shared" si="3"/>
        <v>xxx</v>
      </c>
    </row>
    <row r="221" spans="1:9" x14ac:dyDescent="0.25">
      <c r="A221">
        <v>220</v>
      </c>
      <c r="B221" t="str">
        <f>orig_e_resources_table!B221</f>
        <v>HaPI</v>
      </c>
      <c r="C221" t="str">
        <f>IF(orig_e_resources_table!C221="","",orig_e_resources_table!C221)</f>
        <v>Health &amp;amp; Psychosocial Instruments</v>
      </c>
      <c r="D221" t="str">
        <f>orig_e_resources_table!D221</f>
        <v>http://search.ebscohost.com/login.asp?profile=web&amp;defaultdb=hpi</v>
      </c>
      <c r="E221" t="str">
        <f>LOWER(IF(orig_e_resources_table!F221=1,TRUE,FALSE))</f>
        <v>true</v>
      </c>
      <c r="F221" t="str">
        <f>LOWER(IF(orig_e_resources_table!I221=1,TRUE,FALSE))</f>
        <v>true</v>
      </c>
      <c r="G221" t="str">
        <f>SUBSTITUTE(SUBSTITUTE(orig_e_resources_table!O221,CHAR(13),""),CHAR(10),"")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c r="I221" t="str">
        <f t="shared" si="3"/>
        <v>xxx</v>
      </c>
    </row>
    <row r="222" spans="1:9" x14ac:dyDescent="0.25">
      <c r="A222">
        <v>221</v>
      </c>
      <c r="B222" t="str">
        <f>orig_e_resources_table!B222</f>
        <v>COS Funding Opportunities</v>
      </c>
      <c r="C222" t="str">
        <f>IF(orig_e_resources_table!C222="","",orig_e_resources_table!C222)</f>
        <v>NULL</v>
      </c>
      <c r="D222" t="str">
        <f>orig_e_resources_table!D222</f>
        <v>http://search.proquest.com/fundingops</v>
      </c>
      <c r="E222" t="str">
        <f>LOWER(IF(orig_e_resources_table!F222=1,TRUE,FALSE))</f>
        <v>false</v>
      </c>
      <c r="F222" t="str">
        <f>LOWER(IF(orig_e_resources_table!I222=1,TRUE,FALSE))</f>
        <v>true</v>
      </c>
      <c r="G222" t="str">
        <f>SUBSTITUTE(SUBSTITUTE(orig_e_resources_table!O222,CHAR(13),""),CHAR(10),"")</f>
        <v>A database of funding opportunities for grants, fellowships, prizes, etc.  Discover who's doing what -- current research activity, funding received, publications, patents, new positions and more.</v>
      </c>
      <c r="I222" t="str">
        <f t="shared" si="3"/>
        <v/>
      </c>
    </row>
    <row r="223" spans="1:9" x14ac:dyDescent="0.25">
      <c r="A223">
        <v>222</v>
      </c>
      <c r="B223" t="str">
        <f>orig_e_resources_table!B223</f>
        <v>CAMIO</v>
      </c>
      <c r="C223" t="str">
        <f>IF(orig_e_resources_table!C223="","",orig_e_resources_table!C223)</f>
        <v>Catalog of Art Museum Images Online</v>
      </c>
      <c r="D223" t="str">
        <f>orig_e_resources_table!D223</f>
        <v>http://camio.oclc.org/</v>
      </c>
      <c r="E223" t="str">
        <f>LOWER(IF(orig_e_resources_table!F223=1,TRUE,FALSE))</f>
        <v>true</v>
      </c>
      <c r="F223" t="str">
        <f>LOWER(IF(orig_e_resources_table!I223=1,TRUE,FALSE))</f>
        <v>true</v>
      </c>
      <c r="G223" t="str">
        <f>SUBSTITUTE(SUBSTITUTE(orig_e_resources_table!O223,CHAR(13),""),CHAR(10),"")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c r="I223" t="str">
        <f t="shared" si="3"/>
        <v>xxx</v>
      </c>
    </row>
    <row r="224" spans="1:9" x14ac:dyDescent="0.25">
      <c r="A224">
        <v>223</v>
      </c>
      <c r="B224" t="str">
        <f>orig_e_resources_table!B224</f>
        <v>Illinois Natural Resources Geospatial Data Clearinghouse</v>
      </c>
      <c r="C224" t="str">
        <f>IF(orig_e_resources_table!C224="","",orig_e_resources_table!C224)</f>
        <v>NULL</v>
      </c>
      <c r="D224" t="str">
        <f>orig_e_resources_table!D224</f>
        <v>http://www.isgs.uiuc.edu/nsdihome/</v>
      </c>
      <c r="E224" t="str">
        <f>LOWER(IF(orig_e_resources_table!F224=1,TRUE,FALSE))</f>
        <v>true</v>
      </c>
      <c r="F224" t="str">
        <f>LOWER(IF(orig_e_resources_table!I224=1,TRUE,FALSE))</f>
        <v>false</v>
      </c>
      <c r="G224" t="str">
        <f>SUBSTITUTE(SUBSTITUTE(orig_e_resources_table!O224,CHAR(13),""),CHAR(10),"")</f>
        <v>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v>
      </c>
      <c r="I224" t="str">
        <f t="shared" si="3"/>
        <v>xxx</v>
      </c>
    </row>
    <row r="225" spans="1:9" x14ac:dyDescent="0.25">
      <c r="A225">
        <v>224</v>
      </c>
      <c r="B225" t="str">
        <f>orig_e_resources_table!B225</f>
        <v>David Rumsey Historical Map Collection</v>
      </c>
      <c r="C225" t="str">
        <f>IF(orig_e_resources_table!C225="","",orig_e_resources_table!C225)</f>
        <v>NULL</v>
      </c>
      <c r="D225" t="str">
        <f>orig_e_resources_table!D225</f>
        <v>http://www.davidrumsey.com/</v>
      </c>
      <c r="E225" t="str">
        <f>LOWER(IF(orig_e_resources_table!F225=1,TRUE,FALSE))</f>
        <v>true</v>
      </c>
      <c r="F225" t="str">
        <f>LOWER(IF(orig_e_resources_table!I225=1,TRUE,FALSE))</f>
        <v>false</v>
      </c>
      <c r="G225" t="str">
        <f>SUBSTITUTE(SUBSTITUTE(orig_e_resources_table!O225,CHAR(13),""),CHAR(10),"")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c r="I225" t="str">
        <f t="shared" si="3"/>
        <v>xxx</v>
      </c>
    </row>
    <row r="226" spans="1:9" x14ac:dyDescent="0.25">
      <c r="A226">
        <v>225</v>
      </c>
      <c r="B226" t="str">
        <f>orig_e_resources_table!B226</f>
        <v>Historical Statistics of the United States</v>
      </c>
      <c r="C226" t="str">
        <f>IF(orig_e_resources_table!C226="","",orig_e_resources_table!C226)</f>
        <v>NULL</v>
      </c>
      <c r="D226" t="str">
        <f>orig_e_resources_table!D226</f>
        <v>http://hsus.cambridge.org/</v>
      </c>
      <c r="E226" t="str">
        <f>LOWER(IF(orig_e_resources_table!F226=1,TRUE,FALSE))</f>
        <v>true</v>
      </c>
      <c r="F226" t="str">
        <f>LOWER(IF(orig_e_resources_table!I226=1,TRUE,FALSE))</f>
        <v>true</v>
      </c>
      <c r="G226" t="str">
        <f>SUBSTITUTE(SUBSTITUTE(orig_e_resources_table!O226,CHAR(13),""),CHAR(10),"")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c r="I226" t="str">
        <f t="shared" si="3"/>
        <v>xxx</v>
      </c>
    </row>
    <row r="227" spans="1:9" x14ac:dyDescent="0.25">
      <c r="A227">
        <v>226</v>
      </c>
      <c r="B227" t="str">
        <f>orig_e_resources_table!B227</f>
        <v>SAGE eReference Encyclopedias</v>
      </c>
      <c r="C227" t="str">
        <f>IF(orig_e_resources_table!C227="","",orig_e_resources_table!C227)</f>
        <v>NULL</v>
      </c>
      <c r="D227" t="str">
        <f>orig_e_resources_table!D227</f>
        <v>http://sage-ereference.com/</v>
      </c>
      <c r="E227" t="str">
        <f>LOWER(IF(orig_e_resources_table!F227=1,TRUE,FALSE))</f>
        <v>true</v>
      </c>
      <c r="F227" t="str">
        <f>LOWER(IF(orig_e_resources_table!I227=1,TRUE,FALSE))</f>
        <v>true</v>
      </c>
      <c r="G227" t="str">
        <f>SUBSTITUTE(SUBSTITUTE(orig_e_resources_table!O227,CHAR(13),""),CHAR(10),"")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c r="I227" t="str">
        <f t="shared" si="3"/>
        <v>xxx</v>
      </c>
    </row>
    <row r="228" spans="1:9" x14ac:dyDescent="0.25">
      <c r="A228">
        <v>227</v>
      </c>
      <c r="B228" t="str">
        <f>orig_e_resources_table!B228</f>
        <v>Google Book Search</v>
      </c>
      <c r="C228" t="str">
        <f>IF(orig_e_resources_table!C228="","",orig_e_resources_table!C228)</f>
        <v>NULL</v>
      </c>
      <c r="D228" t="str">
        <f>orig_e_resources_table!D228</f>
        <v>http://books.google.com</v>
      </c>
      <c r="E228" t="str">
        <f>LOWER(IF(orig_e_resources_table!F228=1,TRUE,FALSE))</f>
        <v>true</v>
      </c>
      <c r="F228" t="str">
        <f>LOWER(IF(orig_e_resources_table!I228=1,TRUE,FALSE))</f>
        <v>false</v>
      </c>
      <c r="G228" t="str">
        <f>SUBSTITUTE(SUBSTITUTE(orig_e_resources_table!O228,CHAR(13),""),CHAR(10),"")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c r="I228" t="str">
        <f t="shared" si="3"/>
        <v>xxx</v>
      </c>
    </row>
    <row r="229" spans="1:9" x14ac:dyDescent="0.25">
      <c r="A229">
        <v>228</v>
      </c>
      <c r="B229" t="str">
        <f>orig_e_resources_table!B229</f>
        <v>Open-Access Text Archive</v>
      </c>
      <c r="C229" t="str">
        <f>IF(orig_e_resources_table!C229="","",orig_e_resources_table!C229)</f>
        <v>NULL</v>
      </c>
      <c r="D229" t="str">
        <f>orig_e_resources_table!D229</f>
        <v>http://www.archive.org/details/texts</v>
      </c>
      <c r="E229" t="str">
        <f>LOWER(IF(orig_e_resources_table!F229=1,TRUE,FALSE))</f>
        <v>true</v>
      </c>
      <c r="F229" t="str">
        <f>LOWER(IF(orig_e_resources_table!I229=1,TRUE,FALSE))</f>
        <v>false</v>
      </c>
      <c r="G229" t="str">
        <f>SUBSTITUTE(SUBSTITUTE(orig_e_resources_table!O229,CHAR(13),""),CHAR(10),"")</f>
        <v>This site features a wide selection of e-books that have been contributed from publishers, universities, and individuals. Most of the texts are in DJVU or PDF format. Free to read, download, and print.</v>
      </c>
      <c r="I229" t="str">
        <f t="shared" si="3"/>
        <v>xxx</v>
      </c>
    </row>
    <row r="230" spans="1:9" x14ac:dyDescent="0.25">
      <c r="A230">
        <v>229</v>
      </c>
      <c r="B230" t="str">
        <f>orig_e_resources_table!B230</f>
        <v>ICON: International Coalition on Newspapers</v>
      </c>
      <c r="C230" t="str">
        <f>IF(orig_e_resources_table!C230="","",orig_e_resources_table!C230)</f>
        <v/>
      </c>
      <c r="D230" t="str">
        <f>orig_e_resources_table!D230</f>
        <v>http://icon.crl.edu/digitization.htm</v>
      </c>
      <c r="E230" t="str">
        <f>LOWER(IF(orig_e_resources_table!F230=1,TRUE,FALSE))</f>
        <v>true</v>
      </c>
      <c r="F230" t="str">
        <f>LOWER(IF(orig_e_resources_table!I230=1,TRUE,FALSE))</f>
        <v>false</v>
      </c>
      <c r="G230" t="str">
        <f>SUBSTITUTE(SUBSTITUTE(orig_e_resources_table!O230,CHAR(13),""),CHAR(10),"")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v>
      </c>
      <c r="I230" t="str">
        <f t="shared" si="3"/>
        <v>xxx</v>
      </c>
    </row>
    <row r="231" spans="1:9" x14ac:dyDescent="0.25">
      <c r="A231">
        <v>230</v>
      </c>
      <c r="B231" t="str">
        <f>orig_e_resources_table!B231</f>
        <v>Palgrave Dictionary of Economics</v>
      </c>
      <c r="C231" t="str">
        <f>IF(orig_e_resources_table!C231="","",orig_e_resources_table!C231)</f>
        <v/>
      </c>
      <c r="D231" t="str">
        <f>orig_e_resources_table!D231</f>
        <v>http://www.dictionaryofeconomics.com/dictionary</v>
      </c>
      <c r="E231" t="str">
        <f>LOWER(IF(orig_e_resources_table!F231=1,TRUE,FALSE))</f>
        <v>false</v>
      </c>
      <c r="F231" t="str">
        <f>LOWER(IF(orig_e_resources_table!I231=1,TRUE,FALSE))</f>
        <v>true</v>
      </c>
      <c r="G231" t="str">
        <f>SUBSTITUTE(SUBSTITUTE(orig_e_resources_table!O231,CHAR(13),""),CHAR(10),"")</f>
        <v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v>
      </c>
      <c r="I231" t="str">
        <f t="shared" si="3"/>
        <v/>
      </c>
    </row>
    <row r="232" spans="1:9" x14ac:dyDescent="0.25">
      <c r="A232">
        <v>231</v>
      </c>
      <c r="B232" t="str">
        <f>orig_e_resources_table!B232</f>
        <v>ARTstor</v>
      </c>
      <c r="C232" t="str">
        <f>IF(orig_e_resources_table!C232="","",orig_e_resources_table!C232)</f>
        <v>NULL</v>
      </c>
      <c r="D232" t="str">
        <f>orig_e_resources_table!D232</f>
        <v>http://library.artstor.org/</v>
      </c>
      <c r="E232" t="str">
        <f>LOWER(IF(orig_e_resources_table!F232=1,TRUE,FALSE))</f>
        <v>true</v>
      </c>
      <c r="F232" t="str">
        <f>LOWER(IF(orig_e_resources_table!I232=1,TRUE,FALSE))</f>
        <v>true</v>
      </c>
      <c r="G232" t="str">
        <f>SUBSTITUTE(SUBSTITUTE(orig_e_resources_table!O232,CHAR(13),""),CHAR(10),"")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c r="I232" t="str">
        <f t="shared" si="3"/>
        <v>xxx</v>
      </c>
    </row>
    <row r="233" spans="1:9" x14ac:dyDescent="0.25">
      <c r="A233">
        <v>232</v>
      </c>
      <c r="B233" t="str">
        <f>orig_e_resources_table!B233</f>
        <v>Safari Books Online</v>
      </c>
      <c r="C233" t="str">
        <f>IF(orig_e_resources_table!C233="","",orig_e_resources_table!C233)</f>
        <v>NULL</v>
      </c>
      <c r="D233" t="str">
        <f>orig_e_resources_table!D233</f>
        <v>http://proquestcombo.safaribooksonline.com/?uicode=illinstt</v>
      </c>
      <c r="E233" t="str">
        <f>LOWER(IF(orig_e_resources_table!F233=1,TRUE,FALSE))</f>
        <v>true</v>
      </c>
      <c r="F233" t="str">
        <f>LOWER(IF(orig_e_resources_table!I233=1,TRUE,FALSE))</f>
        <v>true</v>
      </c>
      <c r="G233" t="str">
        <f>SUBSTITUTE(SUBSTITUTE(orig_e_resources_table!O233,CHAR(13),""),CHAR(10),"")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c r="I233" t="str">
        <f t="shared" si="3"/>
        <v>xxx</v>
      </c>
    </row>
    <row r="234" spans="1:9" x14ac:dyDescent="0.25">
      <c r="A234">
        <v>233</v>
      </c>
      <c r="B234" t="str">
        <f>orig_e_resources_table!B234</f>
        <v>ArchiveGrid</v>
      </c>
      <c r="C234" t="str">
        <f>IF(orig_e_resources_table!C234="","",orig_e_resources_table!C234)</f>
        <v>NULL</v>
      </c>
      <c r="D234" t="str">
        <f>orig_e_resources_table!D234</f>
        <v>http://archivegrid.com</v>
      </c>
      <c r="E234" t="str">
        <f>LOWER(IF(orig_e_resources_table!F234=1,TRUE,FALSE))</f>
        <v>true</v>
      </c>
      <c r="F234" t="str">
        <f>LOWER(IF(orig_e_resources_table!I234=1,TRUE,FALSE))</f>
        <v>true</v>
      </c>
      <c r="G234" t="str">
        <f>SUBSTITUTE(SUBSTITUTE(orig_e_resources_table!O234,CHAR(13),""),CHAR(10),"")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c r="I234" t="str">
        <f t="shared" si="3"/>
        <v>xxx</v>
      </c>
    </row>
    <row r="235" spans="1:9" x14ac:dyDescent="0.25">
      <c r="A235">
        <v>234</v>
      </c>
      <c r="B235" t="str">
        <f>orig_e_resources_table!B235</f>
        <v>OAIster</v>
      </c>
      <c r="C235" t="str">
        <f>IF(orig_e_resources_table!C235="","",orig_e_resources_table!C235)</f>
        <v>NULL</v>
      </c>
      <c r="D235" t="str">
        <f>orig_e_resources_table!D235</f>
        <v>http://www.oaister.worldcat.org/</v>
      </c>
      <c r="E235" t="str">
        <f>LOWER(IF(orig_e_resources_table!F235=1,TRUE,FALSE))</f>
        <v>true</v>
      </c>
      <c r="F235" t="str">
        <f>LOWER(IF(orig_e_resources_table!I235=1,TRUE,FALSE))</f>
        <v>false</v>
      </c>
      <c r="G235" t="str">
        <f>SUBSTITUTE(SUBSTITUTE(orig_e_resources_table!O235,CHAR(13),""),CHAR(10),"")</f>
        <v>OAIster is a searchable online catalog of digital resources, including digitized (i.e., scanned) books and articles, born-digital texts, audio files (e.g., wav, mp3), images (e.g., tiff, gif), movies (e.g., mp4, quicktime), and datasets (e.g., downloadable statistics files).</v>
      </c>
      <c r="I235" t="str">
        <f t="shared" si="3"/>
        <v>xxx</v>
      </c>
    </row>
    <row r="236" spans="1:9" x14ac:dyDescent="0.25">
      <c r="A236">
        <v>235</v>
      </c>
      <c r="B236" t="str">
        <f>orig_e_resources_table!B236</f>
        <v>Google News Archive Search</v>
      </c>
      <c r="C236" t="str">
        <f>IF(orig_e_resources_table!C236="","",orig_e_resources_table!C236)</f>
        <v>NULL</v>
      </c>
      <c r="D236" t="str">
        <f>orig_e_resources_table!D236</f>
        <v>http://news.google.com/archivesearch</v>
      </c>
      <c r="E236" t="str">
        <f>LOWER(IF(orig_e_resources_table!F236=1,TRUE,FALSE))</f>
        <v>true</v>
      </c>
      <c r="F236" t="str">
        <f>LOWER(IF(orig_e_resources_table!I236=1,TRUE,FALSE))</f>
        <v>false</v>
      </c>
      <c r="G236" t="str">
        <f>SUBSTITUTE(SUBSTITUTE(orig_e_resources_table!O236,CHAR(13),""),CHAR(10),"")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c r="I236" t="str">
        <f t="shared" si="3"/>
        <v>xxx</v>
      </c>
    </row>
    <row r="237" spans="1:9" x14ac:dyDescent="0.25">
      <c r="A237">
        <v>236</v>
      </c>
      <c r="B237" t="str">
        <f>orig_e_resources_table!B237</f>
        <v>Chicago Building Code</v>
      </c>
      <c r="C237" t="str">
        <f>IF(orig_e_resources_table!C237="","",orig_e_resources_table!C237)</f>
        <v>NULL</v>
      </c>
      <c r="D237" t="str">
        <f>orig_e_resources_table!D237</f>
        <v>http://www.amlegal.com/library/il/chicago.shtml</v>
      </c>
      <c r="E237" t="str">
        <f>LOWER(IF(orig_e_resources_table!F237=1,TRUE,FALSE))</f>
        <v>true</v>
      </c>
      <c r="F237" t="str">
        <f>LOWER(IF(orig_e_resources_table!I237=1,TRUE,FALSE))</f>
        <v>false</v>
      </c>
      <c r="G237" t="str">
        <f>SUBSTITUTE(SUBSTITUTE(orig_e_resources_table!O237,CHAR(13),""),CHAR(10),"")</f>
        <v>This portal offers access to Chicago's Municipal Code, Chicago Zoning Ordinance and Land Use Ordinance, and Building Code.</v>
      </c>
      <c r="I237" t="str">
        <f t="shared" si="3"/>
        <v>xxx</v>
      </c>
    </row>
    <row r="238" spans="1:9" x14ac:dyDescent="0.25">
      <c r="A238">
        <v>237</v>
      </c>
      <c r="B238" t="str">
        <f>orig_e_resources_table!B238</f>
        <v>NSSN.org</v>
      </c>
      <c r="C238" t="str">
        <f>IF(orig_e_resources_table!C238="","",orig_e_resources_table!C238)</f>
        <v>National Resource for Global Standards</v>
      </c>
      <c r="D238" t="str">
        <f>orig_e_resources_table!D238</f>
        <v>http://www.nssn.org</v>
      </c>
      <c r="E238" t="str">
        <f>LOWER(IF(orig_e_resources_table!F238=1,TRUE,FALSE))</f>
        <v>true</v>
      </c>
      <c r="F238" t="str">
        <f>LOWER(IF(orig_e_resources_table!I238=1,TRUE,FALSE))</f>
        <v>false</v>
      </c>
      <c r="G238" t="str">
        <f>SUBSTITUTE(SUBSTITUTE(orig_e_resources_table!O238,CHAR(13),""),CHAR(10),"")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v>
      </c>
      <c r="I238" t="str">
        <f t="shared" si="3"/>
        <v>xxx</v>
      </c>
    </row>
    <row r="239" spans="1:9" x14ac:dyDescent="0.25">
      <c r="A239">
        <v>238</v>
      </c>
      <c r="B239" t="str">
        <f>orig_e_resources_table!B239</f>
        <v>National Map Viewer</v>
      </c>
      <c r="C239" t="str">
        <f>IF(orig_e_resources_table!C239="","",orig_e_resources_table!C239)</f>
        <v>NULL</v>
      </c>
      <c r="D239" t="str">
        <f>orig_e_resources_table!D239</f>
        <v>http://nmviewogc.cr.usgs.gov/</v>
      </c>
      <c r="E239" t="str">
        <f>LOWER(IF(orig_e_resources_table!F239=1,TRUE,FALSE))</f>
        <v>true</v>
      </c>
      <c r="F239" t="str">
        <f>LOWER(IF(orig_e_resources_table!I239=1,TRUE,FALSE))</f>
        <v>false</v>
      </c>
      <c r="G239" t="str">
        <f>SUBSTITUTE(SUBSTITUTE(orig_e_resources_table!O239,CHAR(13),""),CHAR(10),"")</f>
        <v>The National Map is a collaborative effort among the USGS and other Federal, State, and local partners to improve and deliver topographic information for the Nation. Combines high-quality geospatial data and information from the eight National Data sets.</v>
      </c>
      <c r="I239" t="str">
        <f t="shared" si="3"/>
        <v>xxx</v>
      </c>
    </row>
    <row r="240" spans="1:9" x14ac:dyDescent="0.25">
      <c r="A240">
        <v>239</v>
      </c>
      <c r="B240" t="str">
        <f>orig_e_resources_table!B240</f>
        <v>Synthesis Lectures on Biomedical Engineering</v>
      </c>
      <c r="C240" t="str">
        <f>IF(orig_e_resources_table!C240="","",orig_e_resources_table!C240)</f>
        <v>NULL</v>
      </c>
      <c r="D240" t="str">
        <f>orig_e_resources_table!D240</f>
        <v>http://www.morganclaypool.com/page/bec</v>
      </c>
      <c r="E240" t="str">
        <f>LOWER(IF(orig_e_resources_table!F240=1,TRUE,FALSE))</f>
        <v>true</v>
      </c>
      <c r="F240" t="str">
        <f>LOWER(IF(orig_e_resources_table!I240=1,TRUE,FALSE))</f>
        <v>true</v>
      </c>
      <c r="G240" t="str">
        <f>SUBSTITUTE(SUBSTITUTE(orig_e_resources_table!O240,CHAR(13),""),CHAR(10),"")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c r="I240" t="str">
        <f t="shared" si="3"/>
        <v>xxx</v>
      </c>
    </row>
    <row r="241" spans="1:9" x14ac:dyDescent="0.25">
      <c r="A241">
        <v>240</v>
      </c>
      <c r="B241" t="str">
        <f>orig_e_resources_table!B241</f>
        <v>Mergent Online</v>
      </c>
      <c r="C241" t="str">
        <f>IF(orig_e_resources_table!C241="","",orig_e_resources_table!C241)</f>
        <v>NULL</v>
      </c>
      <c r="D241" t="str">
        <f>orig_e_resources_table!D241</f>
        <v>http://www.mergentonline.com/compsearch.asp</v>
      </c>
      <c r="E241" t="str">
        <f>LOWER(IF(orig_e_resources_table!F241=1,TRUE,FALSE))</f>
        <v>false</v>
      </c>
      <c r="F241" t="str">
        <f>LOWER(IF(orig_e_resources_table!I241=1,TRUE,FALSE))</f>
        <v>true</v>
      </c>
      <c r="G241" t="str">
        <f>SUBSTITUTE(SUBSTITUTE(orig_e_resources_table!O241,CHAR(13),""),CHAR(10),"")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c r="I241" t="str">
        <f t="shared" si="3"/>
        <v/>
      </c>
    </row>
    <row r="242" spans="1:9" x14ac:dyDescent="0.25">
      <c r="A242">
        <v>241</v>
      </c>
      <c r="B242" t="str">
        <f>orig_e_resources_table!B242</f>
        <v>Tests in Print</v>
      </c>
      <c r="C242" t="str">
        <f>IF(orig_e_resources_table!C242="","",orig_e_resources_table!C242)</f>
        <v>NULL</v>
      </c>
      <c r="D242" t="str">
        <f>orig_e_resources_table!D242</f>
        <v>http://search.EBSCOhost.com/login.asp?profile=web&amp;defaultdb=lph</v>
      </c>
      <c r="E242" t="str">
        <f>LOWER(IF(orig_e_resources_table!F242=1,TRUE,FALSE))</f>
        <v>false</v>
      </c>
      <c r="F242" t="str">
        <f>LOWER(IF(orig_e_resources_table!I242=1,TRUE,FALSE))</f>
        <v>true</v>
      </c>
      <c r="G242" t="str">
        <f>SUBSTITUTE(SUBSTITUTE(orig_e_resources_table!O242,CHAR(13),""),CHAR(10),"")</f>
        <v>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v>
      </c>
      <c r="I242" t="str">
        <f t="shared" si="3"/>
        <v/>
      </c>
    </row>
    <row r="243" spans="1:9" x14ac:dyDescent="0.25">
      <c r="A243">
        <v>242</v>
      </c>
      <c r="B243" t="str">
        <f>orig_e_resources_table!B243</f>
        <v>GRC Theses List</v>
      </c>
      <c r="C243" t="str">
        <f>IF(orig_e_resources_table!C243="","",orig_e_resources_table!C243)</f>
        <v>NULL</v>
      </c>
      <c r="D243" t="str">
        <f>orig_e_resources_table!D243</f>
        <v>https://docs.google.com/spreadsheet/ccc?key=0AlWl9zEZsWf_dGpuVGR0eDAyODN3ZUgtVF9PQkJnckE</v>
      </c>
      <c r="E243" t="str">
        <f>LOWER(IF(orig_e_resources_table!F243=1,TRUE,FALSE))</f>
        <v>true</v>
      </c>
      <c r="F243" t="str">
        <f>LOWER(IF(orig_e_resources_table!I243=1,TRUE,FALSE))</f>
        <v>false</v>
      </c>
      <c r="G243" t="str">
        <f>SUBSTITUTE(SUBSTITUTE(orig_e_resources_table!O243,CHAR(13),""),CHAR(10),"")</f>
        <v>This spreadsheet includes information on the authors, titles, and dates of publication of theses written by graduates of the College of Architecture at IIT.</v>
      </c>
      <c r="I243" t="str">
        <f t="shared" si="3"/>
        <v>xxx</v>
      </c>
    </row>
    <row r="244" spans="1:9" x14ac:dyDescent="0.25">
      <c r="A244">
        <v>243</v>
      </c>
      <c r="B244" t="str">
        <f>orig_e_resources_table!B244</f>
        <v>Springer eBooks</v>
      </c>
      <c r="C244" t="str">
        <f>IF(orig_e_resources_table!C244="","",orig_e_resources_table!C244)</f>
        <v>NULL</v>
      </c>
      <c r="D244" t="str">
        <f>orig_e_resources_table!D244</f>
        <v>http://www.springerlink.com/books</v>
      </c>
      <c r="E244" t="str">
        <f>LOWER(IF(orig_e_resources_table!F244=1,TRUE,FALSE))</f>
        <v>true</v>
      </c>
      <c r="F244" t="str">
        <f>LOWER(IF(orig_e_resources_table!I244=1,TRUE,FALSE))</f>
        <v>true</v>
      </c>
      <c r="G244" t="str">
        <f>SUBSTITUTE(SUBSTITUTE(orig_e_resources_table!O244,CHAR(13),""),CHAR(10),"")</f>
        <v>Springer eBooks features the full text of academic publications covering the following subjects: Architecture, Design, Business, Economics, Behavioral Science, Biomedical &amp;amp; Life Sciences, and Medicine.</v>
      </c>
      <c r="I244" t="str">
        <f t="shared" si="3"/>
        <v>xxx</v>
      </c>
    </row>
    <row r="245" spans="1:9" x14ac:dyDescent="0.25">
      <c r="A245">
        <v>244</v>
      </c>
      <c r="B245" t="str">
        <f>orig_e_resources_table!B245</f>
        <v>WorldCat Dissertations and Theses</v>
      </c>
      <c r="C245" t="str">
        <f>IF(orig_e_resources_table!C245="","",orig_e_resources_table!C245)</f>
        <v>NULL</v>
      </c>
      <c r="D245" t="str">
        <f>orig_e_resources_table!D245</f>
        <v>http://newfirstsearch.oclc.org/dbname=WorldCatDissertations;FSIP</v>
      </c>
      <c r="E245" t="str">
        <f>LOWER(IF(orig_e_resources_table!F245=1,TRUE,FALSE))</f>
        <v>true</v>
      </c>
      <c r="F245" t="str">
        <f>LOWER(IF(orig_e_resources_table!I245=1,TRUE,FALSE))</f>
        <v>true</v>
      </c>
      <c r="G245" t="str">
        <f>SUBSTITUTE(SUBSTITUTE(orig_e_resources_table!O245,CHAR(13),""),CHAR(10),"")</f>
        <v>Search for dissertations and theses held in over 8,000 libraries worldwide. Covers all disciplines and subject areas.</v>
      </c>
      <c r="I245" t="str">
        <f t="shared" si="3"/>
        <v>xxx</v>
      </c>
    </row>
    <row r="246" spans="1:9" x14ac:dyDescent="0.25">
      <c r="A246">
        <v>245</v>
      </c>
      <c r="B246" t="str">
        <f>orig_e_resources_table!B246</f>
        <v>Gale Virtual Reference Library</v>
      </c>
      <c r="C246" t="str">
        <f>IF(orig_e_resources_table!C246="","",orig_e_resources_table!C246)</f>
        <v>NULL</v>
      </c>
      <c r="D246" t="str">
        <f>orig_e_resources_table!D246</f>
        <v>http://infotrac.galegroup.com/itweb/chic7029?db=GVRL</v>
      </c>
      <c r="E246" t="str">
        <f>LOWER(IF(orig_e_resources_table!F246=1,TRUE,FALSE))</f>
        <v>true</v>
      </c>
      <c r="F246" t="str">
        <f>LOWER(IF(orig_e_resources_table!I246=1,TRUE,FALSE))</f>
        <v>true</v>
      </c>
      <c r="G246" t="str">
        <f>SUBSTITUTE(SUBSTITUTE(orig_e_resources_table!O246,CHAR(13),""),CHAR(10),"")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c r="I246" t="str">
        <f t="shared" si="3"/>
        <v>xxx</v>
      </c>
    </row>
    <row r="247" spans="1:9" x14ac:dyDescent="0.25">
      <c r="A247">
        <v>246</v>
      </c>
      <c r="B247" t="str">
        <f>orig_e_resources_table!B247</f>
        <v>Mango Languages</v>
      </c>
      <c r="C247" t="str">
        <f>IF(orig_e_resources_table!C247="","",orig_e_resources_table!C247)</f>
        <v>NULL</v>
      </c>
      <c r="D247" t="str">
        <f>orig_e_resources_table!D247</f>
        <v>http://libraries.mangolanguages.com/iit/start</v>
      </c>
      <c r="E247" t="str">
        <f>LOWER(IF(orig_e_resources_table!F247=1,TRUE,FALSE))</f>
        <v>true</v>
      </c>
      <c r="F247" t="str">
        <f>LOWER(IF(orig_e_resources_table!I247=1,TRUE,FALSE))</f>
        <v>true</v>
      </c>
      <c r="G247" t="str">
        <f>SUBSTITUTE(SUBSTITUTE(orig_e_resources_table!O247,CHAR(13),""),CHAR(10),"")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c r="I247" t="str">
        <f t="shared" si="3"/>
        <v>xxx</v>
      </c>
    </row>
    <row r="248" spans="1:9" x14ac:dyDescent="0.25">
      <c r="A248">
        <v>247</v>
      </c>
      <c r="B248" t="str">
        <f>orig_e_resources_table!B248</f>
        <v>Thomas Register</v>
      </c>
      <c r="C248" t="str">
        <f>IF(orig_e_resources_table!C248="","",orig_e_resources_table!C248)</f>
        <v>ThomasNet</v>
      </c>
      <c r="D248" t="str">
        <f>orig_e_resources_table!D248</f>
        <v>http://www.thomasnet.com/</v>
      </c>
      <c r="E248" t="str">
        <f>LOWER(IF(orig_e_resources_table!F248=1,TRUE,FALSE))</f>
        <v>true</v>
      </c>
      <c r="F248" t="str">
        <f>LOWER(IF(orig_e_resources_table!I248=1,TRUE,FALSE))</f>
        <v>false</v>
      </c>
      <c r="G248" t="str">
        <f>SUBSTITUTE(SUBSTITUTE(orig_e_resources_table!O248,CHAR(13),""),CHAR(10),"")</f>
        <v>An online directory of industrial product information covering 650,000 distributors, manufacturers and service companies within more than 67,000 industrial categories.</v>
      </c>
      <c r="I248" t="str">
        <f t="shared" si="3"/>
        <v>xxx</v>
      </c>
    </row>
    <row r="249" spans="1:9" x14ac:dyDescent="0.25">
      <c r="A249">
        <v>248</v>
      </c>
      <c r="B249" t="str">
        <f>orig_e_resources_table!B249</f>
        <v>IIT Digital Repository</v>
      </c>
      <c r="C249" t="str">
        <f>IF(orig_e_resources_table!C249="","",orig_e_resources_table!C249)</f>
        <v>share.iit.edu</v>
      </c>
      <c r="D249" t="str">
        <f>orig_e_resources_table!D249</f>
        <v xml:space="preserve"> http://repository.iit.edu</v>
      </c>
      <c r="E249" t="str">
        <f>LOWER(IF(orig_e_resources_table!F249=1,TRUE,FALSE))</f>
        <v>true</v>
      </c>
      <c r="F249" t="str">
        <f>LOWER(IF(orig_e_resources_table!I249=1,TRUE,FALSE))</f>
        <v>true</v>
      </c>
      <c r="G249" t="str">
        <f>SUBSTITUTE(SUBSTITUTE(orig_e_resources_table!O249,CHAR(13),""),CHAR(10),"")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c r="I249" t="str">
        <f t="shared" si="3"/>
        <v>xxx</v>
      </c>
    </row>
    <row r="250" spans="1:9" x14ac:dyDescent="0.25">
      <c r="A250">
        <v>249</v>
      </c>
      <c r="B250" t="str">
        <f>orig_e_resources_table!B250</f>
        <v>Legal Resources</v>
      </c>
      <c r="C250" t="str">
        <f>IF(orig_e_resources_table!C250="","",orig_e_resources_table!C250)</f>
        <v>NULL</v>
      </c>
      <c r="D250" t="str">
        <f>orig_e_resources_table!D250</f>
        <v>http://kentlaw.iit.edu/library</v>
      </c>
      <c r="E250" t="str">
        <f>LOWER(IF(orig_e_resources_table!F250=1,TRUE,FALSE))</f>
        <v>true</v>
      </c>
      <c r="F250" t="str">
        <f>LOWER(IF(orig_e_resources_table!I250=1,TRUE,FALSE))</f>
        <v>false</v>
      </c>
      <c r="G250" t="str">
        <f>SUBSTITUTE(SUBSTITUTE(orig_e_resources_table!O250,CHAR(13),""),CHAR(10),"")</f>
        <v xml:space="preserve">IIT's Kent College of Law provides access to Westlaw, HeinOnline, and other legal resources through the Downtown Campus Library. Law students should access these resources there. </v>
      </c>
      <c r="I250" t="str">
        <f t="shared" si="3"/>
        <v>xxx</v>
      </c>
    </row>
    <row r="251" spans="1:9" x14ac:dyDescent="0.25">
      <c r="A251">
        <v>250</v>
      </c>
      <c r="B251" t="str">
        <f>orig_e_resources_table!B251</f>
        <v>TRAIL</v>
      </c>
      <c r="C251" t="str">
        <f>IF(orig_e_resources_table!C251="","",orig_e_resources_table!C251)</f>
        <v>Technical Report Archive And Image Library</v>
      </c>
      <c r="D251" t="str">
        <f>orig_e_resources_table!D251</f>
        <v>http://www.technicalreports.org</v>
      </c>
      <c r="E251" t="str">
        <f>LOWER(IF(orig_e_resources_table!F251=1,TRUE,FALSE))</f>
        <v>true</v>
      </c>
      <c r="F251" t="str">
        <f>LOWER(IF(orig_e_resources_table!I251=1,TRUE,FALSE))</f>
        <v>false</v>
      </c>
      <c r="G251" t="str">
        <f>SUBSTITUTE(SUBSTITUTE(orig_e_resources_table!O251,CHAR(13),""),CHAR(10),"")</f>
        <v>The Technical Report Archive &amp; Image Library (TRAIL) is an initiative led by the University of Arizona in collaboration with CRL and other interested agencies to identify, digitize, archive, and provide access to federal technical reports issued prior to 1975</v>
      </c>
      <c r="I251" t="str">
        <f t="shared" si="3"/>
        <v>xxx</v>
      </c>
    </row>
    <row r="252" spans="1:9" x14ac:dyDescent="0.25">
      <c r="A252">
        <v>251</v>
      </c>
      <c r="B252" t="str">
        <f>orig_e_resources_table!B252</f>
        <v>Share.iit</v>
      </c>
      <c r="C252" t="str">
        <f>IF(orig_e_resources_table!C252="","",orig_e_resources_table!C252)</f>
        <v/>
      </c>
      <c r="D252" t="str">
        <f>orig_e_resources_table!D252</f>
        <v>http://share.iit.edu</v>
      </c>
      <c r="E252" t="str">
        <f>LOWER(IF(orig_e_resources_table!F252=1,TRUE,FALSE))</f>
        <v>true</v>
      </c>
      <c r="F252" t="str">
        <f>LOWER(IF(orig_e_resources_table!I252=1,TRUE,FALSE))</f>
        <v>false</v>
      </c>
      <c r="G252" t="str">
        <f>SUBSTITUTE(SUBSTITUTE(orig_e_resources_table!O252,CHAR(13),""),CHAR(10),"")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c r="I252" t="str">
        <f t="shared" si="3"/>
        <v>xxx</v>
      </c>
    </row>
    <row r="253" spans="1:9" x14ac:dyDescent="0.25">
      <c r="A253">
        <v>252</v>
      </c>
      <c r="B253" t="str">
        <f>orig_e_resources_table!B253</f>
        <v>SSRN - Social Science Research Network</v>
      </c>
      <c r="C253" t="str">
        <f>IF(orig_e_resources_table!C253="","",orig_e_resources_table!C253)</f>
        <v/>
      </c>
      <c r="D253" t="str">
        <f>orig_e_resources_table!D253</f>
        <v>http://papers.ssrn.com/sol3/</v>
      </c>
      <c r="E253" t="str">
        <f>LOWER(IF(orig_e_resources_table!F253=1,TRUE,FALSE))</f>
        <v>true</v>
      </c>
      <c r="F253" t="str">
        <f>LOWER(IF(orig_e_resources_table!I253=1,TRUE,FALSE))</f>
        <v>false</v>
      </c>
      <c r="G253" t="str">
        <f>SUBSTITUTE(SUBSTITUTE(orig_e_resources_table!O253,CHAR(13),""),CHAR(10),"")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c r="I253" t="str">
        <f t="shared" si="3"/>
        <v>xxx</v>
      </c>
    </row>
    <row r="254" spans="1:9" x14ac:dyDescent="0.25">
      <c r="A254">
        <v>253</v>
      </c>
      <c r="B254" t="str">
        <f>orig_e_resources_table!B254</f>
        <v>National Academies Press</v>
      </c>
      <c r="C254" t="str">
        <f>IF(orig_e_resources_table!C254="","",orig_e_resources_table!C254)</f>
        <v>NULL</v>
      </c>
      <c r="D254" t="str">
        <f>orig_e_resources_table!D254</f>
        <v>http://www.nap.edu/</v>
      </c>
      <c r="E254" t="str">
        <f>LOWER(IF(orig_e_resources_table!F254=1,TRUE,FALSE))</f>
        <v>true</v>
      </c>
      <c r="F254" t="str">
        <f>LOWER(IF(orig_e_resources_table!I254=1,TRUE,FALSE))</f>
        <v>false</v>
      </c>
      <c r="G254" t="str">
        <f>SUBSTITUTE(SUBSTITUTE(orig_e_resources_table!O254,CHAR(13),""),CHAR(10),"")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c r="I254" t="str">
        <f t="shared" si="3"/>
        <v>xxx</v>
      </c>
    </row>
    <row r="255" spans="1:9" x14ac:dyDescent="0.25">
      <c r="A255">
        <v>254</v>
      </c>
      <c r="B255" t="str">
        <f>orig_e_resources_table!B255</f>
        <v>ProQuest SciTech Collection</v>
      </c>
      <c r="C255" t="str">
        <f>IF(orig_e_resources_table!C255="","",orig_e_resources_table!C255)</f>
        <v/>
      </c>
      <c r="D255" t="str">
        <f>orig_e_resources_table!D255</f>
        <v>http://search.proquest.com/technologycollection</v>
      </c>
      <c r="E255" t="str">
        <f>LOWER(IF(orig_e_resources_table!F255=1,TRUE,FALSE))</f>
        <v>true</v>
      </c>
      <c r="F255" t="str">
        <f>LOWER(IF(orig_e_resources_table!I255=1,TRUE,FALSE))</f>
        <v>true</v>
      </c>
      <c r="G255" t="str">
        <f>SUBSTITUTE(SUBSTITUTE(orig_e_resources_table!O255,CHAR(13),""),CHAR(10),"")</f>
        <v xml:space="preserve">A comprehensive natural and applied science research collection. Includes databases collections for the following subject areas: Agriculture, Aquatic, Atmospheric, Biology, Earth,, Environmental Science, Materials,  Aerospace, Engineering, Computer Science. </v>
      </c>
      <c r="I255" t="str">
        <f t="shared" si="3"/>
        <v>xxx</v>
      </c>
    </row>
    <row r="256" spans="1:9" x14ac:dyDescent="0.25">
      <c r="A256">
        <v>255</v>
      </c>
      <c r="B256" t="str">
        <f>orig_e_resources_table!B256</f>
        <v>The Times (London)</v>
      </c>
      <c r="C256" t="str">
        <f>IF(orig_e_resources_table!C256="","",orig_e_resources_table!C256)</f>
        <v>NULL</v>
      </c>
      <c r="D256" t="str">
        <f>orig_e_resources_table!D256</f>
        <v>http://find.galegroup.com/ttda/start.do?userGroupName=chic7029</v>
      </c>
      <c r="E256" t="str">
        <f>LOWER(IF(orig_e_resources_table!F256=1,TRUE,FALSE))</f>
        <v>true</v>
      </c>
      <c r="F256" t="str">
        <f>LOWER(IF(orig_e_resources_table!I256=1,TRUE,FALSE))</f>
        <v>true</v>
      </c>
      <c r="G256" t="str">
        <f>SUBSTITUTE(SUBSTITUTE(orig_e_resources_table!O256,CHAR(13),""),CHAR(10),"")</f>
        <v xml:space="preserve">Complete issues of The Times (London) from 1785 to 2006. Includes headlines, articles, images, editorials, advertisements and from the United Kingdom's paper of record. </v>
      </c>
      <c r="I256" t="str">
        <f t="shared" si="3"/>
        <v>xxx</v>
      </c>
    </row>
    <row r="257" spans="1:9" x14ac:dyDescent="0.25">
      <c r="A257">
        <v>256</v>
      </c>
      <c r="B257" t="str">
        <f>orig_e_resources_table!B257</f>
        <v>PrivCo</v>
      </c>
      <c r="C257" t="str">
        <f>IF(orig_e_resources_table!C257="","",orig_e_resources_table!C257)</f>
        <v>NULL</v>
      </c>
      <c r="D257" t="str">
        <f>orig_e_resources_table!D257</f>
        <v>http://www.privco.com</v>
      </c>
      <c r="E257" t="str">
        <f>LOWER(IF(orig_e_resources_table!F257=1,TRUE,FALSE))</f>
        <v>true</v>
      </c>
      <c r="F257" t="str">
        <f>LOWER(IF(orig_e_resources_table!I257=1,TRUE,FALSE))</f>
        <v>true</v>
      </c>
      <c r="G257" t="str">
        <f>SUBSTITUTE(SUBSTITUTE(orig_e_resources_table!O257,CHAR(13),""),CHAR(10),"")</f>
        <v>PrivCo is a source for business and financial research on major privately-held companies (MPCs). It combines financial analysis, editorials, market research, and PrivCo's data technology for over 150,000 private companies in the United States.</v>
      </c>
      <c r="I257" t="str">
        <f t="shared" si="3"/>
        <v>xxx</v>
      </c>
    </row>
    <row r="258" spans="1:9" x14ac:dyDescent="0.25">
      <c r="A258">
        <v>257</v>
      </c>
      <c r="B258" t="str">
        <f>orig_e_resources_table!B258</f>
        <v>Oxford Islamic Studies Online</v>
      </c>
      <c r="C258" t="str">
        <f>IF(orig_e_resources_table!C258="","",orig_e_resources_table!C258)</f>
        <v>NULL</v>
      </c>
      <c r="D258" t="str">
        <f>orig_e_resources_table!D258</f>
        <v>http://www.oxfordislamicstudies.com/</v>
      </c>
      <c r="E258" t="str">
        <f>LOWER(IF(orig_e_resources_table!F258=1,TRUE,FALSE))</f>
        <v>false</v>
      </c>
      <c r="F258" t="str">
        <f>LOWER(IF(orig_e_resources_table!I258=1,TRUE,FALSE))</f>
        <v>false</v>
      </c>
      <c r="G258" t="str">
        <f>SUBSTITUTE(SUBSTITUTE(orig_e_resources_table!O258,CHAR(13),""),CHAR(10),"")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c r="I258" t="str">
        <f t="shared" si="3"/>
        <v/>
      </c>
    </row>
    <row r="259" spans="1:9" x14ac:dyDescent="0.25">
      <c r="A259">
        <v>258</v>
      </c>
      <c r="B259" t="str">
        <f>orig_e_resources_table!B259</f>
        <v>SpringerMaterials</v>
      </c>
      <c r="C259" t="str">
        <f>IF(orig_e_resources_table!C259="","",orig_e_resources_table!C259)</f>
        <v>NULL</v>
      </c>
      <c r="D259" t="str">
        <f>orig_e_resources_table!D259</f>
        <v>http://www.springermaterials.com</v>
      </c>
      <c r="E259" t="str">
        <f>LOWER(IF(orig_e_resources_table!F259=1,TRUE,FALSE))</f>
        <v>true</v>
      </c>
      <c r="F259" t="str">
        <f>LOWER(IF(orig_e_resources_table!I259=1,TRUE,FALSE))</f>
        <v>true</v>
      </c>
      <c r="G259" t="str">
        <f>SUBSTITUTE(SUBSTITUTE(orig_e_resources_table!O259,CHAR(13),""),CHAR(10),"")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c r="I259" t="str">
        <f t="shared" ref="I259:I261" si="4">IF(E259="true","xxx","")</f>
        <v>xxx</v>
      </c>
    </row>
    <row r="260" spans="1:9" x14ac:dyDescent="0.25">
      <c r="A260">
        <v>259</v>
      </c>
      <c r="B260" t="str">
        <f>orig_e_resources_table!B260</f>
        <v>Barron's</v>
      </c>
      <c r="C260" t="str">
        <f>IF(orig_e_resources_table!C260="","",orig_e_resources_table!C260)</f>
        <v>NULL</v>
      </c>
      <c r="D260" t="str">
        <f>orig_e_resources_table!D260</f>
        <v>http://online.barrons.com/</v>
      </c>
      <c r="E260" t="str">
        <f>LOWER(IF(orig_e_resources_table!F260=1,TRUE,FALSE))</f>
        <v>true</v>
      </c>
      <c r="F260" t="str">
        <f>LOWER(IF(orig_e_resources_table!I260=1,TRUE,FALSE))</f>
        <v>false</v>
      </c>
      <c r="G260" t="str">
        <f>SUBSTITUTE(SUBSTITUTE(orig_e_resources_table!O260,CHAR(13),""),CHAR(10),"")</f>
        <v xml:space="preserve">Barron's publishes business and financial market news. It is published weekly and includes a summary of the previous week's market-affecting items. </v>
      </c>
      <c r="I260" t="str">
        <f t="shared" si="4"/>
        <v>xxx</v>
      </c>
    </row>
    <row r="261" spans="1:9" x14ac:dyDescent="0.25">
      <c r="A261">
        <v>260</v>
      </c>
      <c r="B261" t="str">
        <f>orig_e_resources_table!B261</f>
        <v>Earthquake Engineering Online Archive</v>
      </c>
      <c r="C261" t="str">
        <f>IF(orig_e_resources_table!C261="","",orig_e_resources_table!C261)</f>
        <v>EEOA</v>
      </c>
      <c r="D261" t="str">
        <f>orig_e_resources_table!D261</f>
        <v>http://nisee.berkeley.edu/elibrary/</v>
      </c>
      <c r="E261" t="str">
        <f>LOWER(IF(orig_e_resources_table!F261=1,TRUE,FALSE))</f>
        <v>true</v>
      </c>
      <c r="F261" t="str">
        <f>LOWER(IF(orig_e_resources_table!I261=1,TRUE,FALSE))</f>
        <v>false</v>
      </c>
      <c r="G261" t="str">
        <f>SUBSTITUTE(SUBSTITUTE(orig_e_resources_table!O261,CHAR(13),""),CHAR(10),"")</f>
        <v>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v>
      </c>
      <c r="I261" t="str">
        <f t="shared" si="4"/>
        <v>xxx</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orig_e_resources_table</vt:lpstr>
      <vt:lpstr>select and format columns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2014-03-28T21:41:54Z</dcterms:created>
  <dcterms:modified xsi:type="dcterms:W3CDTF">2014-03-28T22:23:57Z</dcterms:modified>
</cp:coreProperties>
</file>