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hristine\Dropbox\541-Info\project2\assets\"/>
    </mc:Choice>
  </mc:AlternateContent>
  <bookViews>
    <workbookView xWindow="120" yWindow="150" windowWidth="24915" windowHeight="12075" activeTab="1"/>
  </bookViews>
  <sheets>
    <sheet name="orig_e_resources_table" sheetId="1" r:id="rId1"/>
    <sheet name="select and format columns" sheetId="2" r:id="rId2"/>
  </sheets>
  <calcPr calcId="152511"/>
</workbook>
</file>

<file path=xl/calcChain.xml><?xml version="1.0" encoding="utf-8"?>
<calcChain xmlns="http://schemas.openxmlformats.org/spreadsheetml/2006/main">
  <c r="G3" i="2" l="1"/>
  <c r="G4" i="2"/>
  <c r="G5" i="2"/>
  <c r="G6" i="2"/>
  <c r="G7" i="2"/>
  <c r="G8" i="2"/>
  <c r="G9" i="2"/>
  <c r="G10" i="2"/>
  <c r="G11" i="2"/>
  <c r="G12" i="2"/>
  <c r="G13" i="2"/>
  <c r="G14" i="2"/>
  <c r="G15" i="2"/>
  <c r="G16" i="2"/>
  <c r="G18" i="2"/>
  <c r="G20" i="2"/>
  <c r="G21" i="2"/>
  <c r="G22" i="2"/>
  <c r="G23" i="2"/>
  <c r="G24" i="2"/>
  <c r="G25" i="2"/>
  <c r="G27" i="2"/>
  <c r="G26" i="2"/>
  <c r="G28" i="2"/>
  <c r="G29" i="2"/>
  <c r="G30" i="2"/>
  <c r="G219" i="2"/>
  <c r="G32" i="2"/>
  <c r="G33" i="2"/>
  <c r="G34" i="2"/>
  <c r="G35" i="2"/>
  <c r="G37" i="2"/>
  <c r="G38" i="2"/>
  <c r="G40" i="2"/>
  <c r="G41" i="2"/>
  <c r="G42" i="2"/>
  <c r="G43" i="2"/>
  <c r="G45" i="2"/>
  <c r="G46" i="2"/>
  <c r="G47" i="2"/>
  <c r="G48" i="2"/>
  <c r="G50" i="2"/>
  <c r="G52" i="2"/>
  <c r="G53" i="2"/>
  <c r="G51" i="2"/>
  <c r="G54" i="2"/>
  <c r="G55" i="2"/>
  <c r="G56" i="2"/>
  <c r="G57" i="2"/>
  <c r="G61" i="2"/>
  <c r="G58" i="2"/>
  <c r="G59" i="2"/>
  <c r="G60" i="2"/>
  <c r="G62" i="2"/>
  <c r="G64" i="2"/>
  <c r="G65" i="2"/>
  <c r="G66" i="2"/>
  <c r="G67" i="2"/>
  <c r="G68" i="2"/>
  <c r="G69" i="2"/>
  <c r="G70" i="2"/>
  <c r="G71" i="2"/>
  <c r="G72" i="2"/>
  <c r="G73" i="2"/>
  <c r="G75" i="2"/>
  <c r="G76" i="2"/>
  <c r="G36" i="2"/>
  <c r="G78" i="2"/>
  <c r="G81" i="2"/>
  <c r="G82" i="2"/>
  <c r="G83" i="2"/>
  <c r="G84" i="2"/>
  <c r="G85" i="2"/>
  <c r="G86" i="2"/>
  <c r="G87" i="2"/>
  <c r="G88" i="2"/>
  <c r="G89" i="2"/>
  <c r="G90" i="2"/>
  <c r="G91" i="2"/>
  <c r="G92" i="2"/>
  <c r="G93" i="2"/>
  <c r="G94" i="2"/>
  <c r="G95" i="2"/>
  <c r="G96" i="2"/>
  <c r="G97" i="2"/>
  <c r="G98" i="2"/>
  <c r="G99" i="2"/>
  <c r="G100" i="2"/>
  <c r="G101" i="2"/>
  <c r="G102" i="2"/>
  <c r="G105" i="2"/>
  <c r="G106" i="2"/>
  <c r="G109" i="2"/>
  <c r="G112" i="2"/>
  <c r="G113" i="2"/>
  <c r="G115" i="2"/>
  <c r="G116" i="2"/>
  <c r="G119" i="2"/>
  <c r="G121" i="2"/>
  <c r="G122" i="2"/>
  <c r="G123" i="2"/>
  <c r="G124" i="2"/>
  <c r="G126" i="2"/>
  <c r="G127" i="2"/>
  <c r="G128" i="2"/>
  <c r="G131" i="2"/>
  <c r="G144" i="2"/>
  <c r="G235" i="2"/>
  <c r="G133" i="2"/>
  <c r="G135" i="2"/>
  <c r="G136" i="2"/>
  <c r="G137" i="2"/>
  <c r="G138" i="2"/>
  <c r="G139" i="2"/>
  <c r="G140" i="2"/>
  <c r="G141" i="2"/>
  <c r="G142" i="2"/>
  <c r="G143" i="2"/>
  <c r="G117" i="2"/>
  <c r="G145" i="2"/>
  <c r="G147" i="2"/>
  <c r="G148" i="2"/>
  <c r="G149" i="2"/>
  <c r="G150" i="2"/>
  <c r="G151" i="2"/>
  <c r="G153" i="2"/>
  <c r="G154" i="2"/>
  <c r="G155" i="2"/>
  <c r="G156" i="2"/>
  <c r="G157" i="2"/>
  <c r="G158" i="2"/>
  <c r="G159" i="2"/>
  <c r="G160" i="2"/>
  <c r="G205" i="2"/>
  <c r="G162" i="2"/>
  <c r="G163" i="2"/>
  <c r="G164" i="2"/>
  <c r="G165" i="2"/>
  <c r="G166" i="2"/>
  <c r="G167" i="2"/>
  <c r="G171" i="2"/>
  <c r="G80" i="2"/>
  <c r="G177" i="2"/>
  <c r="G172" i="2"/>
  <c r="G173" i="2"/>
  <c r="G175" i="2"/>
  <c r="G176" i="2"/>
  <c r="G179" i="2"/>
  <c r="G181" i="2"/>
  <c r="G108" i="2"/>
  <c r="G182" i="2"/>
  <c r="G185" i="2"/>
  <c r="G186" i="2"/>
  <c r="G187" i="2"/>
  <c r="G188" i="2"/>
  <c r="G189" i="2"/>
  <c r="G190" i="2"/>
  <c r="G191" i="2"/>
  <c r="G193" i="2"/>
  <c r="G194" i="2"/>
  <c r="G195" i="2"/>
  <c r="G196" i="2"/>
  <c r="G197" i="2"/>
  <c r="G199" i="2"/>
  <c r="G201" i="2"/>
  <c r="G77" i="2"/>
  <c r="G202" i="2"/>
  <c r="G203" i="2"/>
  <c r="G204" i="2"/>
  <c r="G208" i="2"/>
  <c r="G209" i="2"/>
  <c r="G210" i="2"/>
  <c r="G211" i="2"/>
  <c r="G212" i="2"/>
  <c r="G213" i="2"/>
  <c r="G107" i="2"/>
  <c r="G214" i="2"/>
  <c r="G215" i="2"/>
  <c r="G217" i="2"/>
  <c r="G218" i="2"/>
  <c r="G220" i="2"/>
  <c r="G221" i="2"/>
  <c r="G222" i="2"/>
  <c r="G223" i="2"/>
  <c r="G224" i="2"/>
  <c r="G226" i="2"/>
  <c r="G230" i="2"/>
  <c r="G231" i="2"/>
  <c r="G232" i="2"/>
  <c r="G234" i="2"/>
  <c r="G238" i="2"/>
  <c r="G240" i="2"/>
  <c r="G241" i="2"/>
  <c r="G242" i="2"/>
  <c r="G244" i="2"/>
  <c r="G245" i="2"/>
  <c r="G246" i="2"/>
  <c r="G247" i="2"/>
  <c r="G248" i="2"/>
  <c r="G249" i="2"/>
  <c r="G250" i="2"/>
  <c r="G251" i="2"/>
  <c r="G252" i="2"/>
  <c r="G253" i="2"/>
  <c r="G254" i="2"/>
  <c r="G255" i="2"/>
  <c r="G256" i="2"/>
  <c r="G257" i="2"/>
  <c r="G258" i="2"/>
  <c r="G169" i="2"/>
  <c r="G114" i="2"/>
  <c r="G260" i="2"/>
  <c r="G130" i="2"/>
  <c r="G104" i="2"/>
  <c r="G39" i="2"/>
  <c r="G229" i="2"/>
  <c r="G200" i="2"/>
  <c r="G120" i="2"/>
  <c r="G63" i="2"/>
  <c r="G44" i="2"/>
  <c r="G134" i="2"/>
  <c r="G74" i="2"/>
  <c r="G125" i="2"/>
  <c r="G207" i="2"/>
  <c r="G110" i="2"/>
  <c r="G180" i="2"/>
  <c r="G129" i="2"/>
  <c r="G184" i="2"/>
  <c r="G19" i="2"/>
  <c r="G206" i="2"/>
  <c r="G17" i="2"/>
  <c r="G178" i="2"/>
  <c r="G111" i="2"/>
  <c r="G49" i="2"/>
  <c r="G174" i="2"/>
  <c r="G170" i="2"/>
  <c r="G233" i="2"/>
  <c r="G161" i="2"/>
  <c r="G236" i="2"/>
  <c r="G118" i="2"/>
  <c r="G225" i="2"/>
  <c r="G259" i="2"/>
  <c r="G103" i="2"/>
  <c r="G152" i="2"/>
  <c r="G239" i="2"/>
  <c r="G132" i="2"/>
  <c r="G146" i="2"/>
  <c r="G243" i="2"/>
  <c r="G216" i="2"/>
  <c r="G228" i="2"/>
  <c r="G168" i="2"/>
  <c r="G198" i="2"/>
  <c r="G237" i="2"/>
  <c r="G192" i="2"/>
  <c r="G183" i="2"/>
  <c r="G227" i="2"/>
  <c r="G31" i="2"/>
  <c r="G79" i="2"/>
  <c r="G2" i="2"/>
  <c r="F10" i="2"/>
  <c r="F11" i="2"/>
  <c r="F12" i="2"/>
  <c r="F13" i="2"/>
  <c r="F14" i="2"/>
  <c r="F15" i="2"/>
  <c r="F16" i="2"/>
  <c r="F18" i="2"/>
  <c r="F20" i="2"/>
  <c r="F21" i="2"/>
  <c r="F22" i="2"/>
  <c r="F23" i="2"/>
  <c r="F24" i="2"/>
  <c r="F25" i="2"/>
  <c r="F27" i="2"/>
  <c r="F26" i="2"/>
  <c r="F28" i="2"/>
  <c r="F29" i="2"/>
  <c r="F30" i="2"/>
  <c r="F219" i="2"/>
  <c r="F32" i="2"/>
  <c r="F33" i="2"/>
  <c r="F34" i="2"/>
  <c r="F35" i="2"/>
  <c r="F37" i="2"/>
  <c r="F38" i="2"/>
  <c r="F40" i="2"/>
  <c r="F41" i="2"/>
  <c r="F42" i="2"/>
  <c r="F43" i="2"/>
  <c r="F45" i="2"/>
  <c r="F46" i="2"/>
  <c r="F47" i="2"/>
  <c r="F48" i="2"/>
  <c r="F50" i="2"/>
  <c r="F52" i="2"/>
  <c r="F53" i="2"/>
  <c r="F51" i="2"/>
  <c r="F54" i="2"/>
  <c r="F55" i="2"/>
  <c r="F56" i="2"/>
  <c r="F57" i="2"/>
  <c r="F61" i="2"/>
  <c r="F58" i="2"/>
  <c r="F59" i="2"/>
  <c r="F60" i="2"/>
  <c r="F62" i="2"/>
  <c r="F64" i="2"/>
  <c r="F65" i="2"/>
  <c r="F66" i="2"/>
  <c r="F67" i="2"/>
  <c r="F68" i="2"/>
  <c r="F69" i="2"/>
  <c r="F70" i="2"/>
  <c r="F71" i="2"/>
  <c r="F72" i="2"/>
  <c r="F73" i="2"/>
  <c r="F75" i="2"/>
  <c r="F76" i="2"/>
  <c r="F36" i="2"/>
  <c r="F78" i="2"/>
  <c r="F81" i="2"/>
  <c r="F82" i="2"/>
  <c r="F83" i="2"/>
  <c r="F84" i="2"/>
  <c r="F85" i="2"/>
  <c r="F86" i="2"/>
  <c r="F87" i="2"/>
  <c r="F88" i="2"/>
  <c r="F89" i="2"/>
  <c r="F90" i="2"/>
  <c r="F91" i="2"/>
  <c r="F92" i="2"/>
  <c r="F93" i="2"/>
  <c r="F94" i="2"/>
  <c r="F95" i="2"/>
  <c r="F96" i="2"/>
  <c r="F97" i="2"/>
  <c r="F98" i="2"/>
  <c r="F99" i="2"/>
  <c r="F100" i="2"/>
  <c r="F101" i="2"/>
  <c r="F102" i="2"/>
  <c r="F105" i="2"/>
  <c r="F106" i="2"/>
  <c r="F109" i="2"/>
  <c r="F112" i="2"/>
  <c r="F113" i="2"/>
  <c r="F115" i="2"/>
  <c r="F116" i="2"/>
  <c r="F119" i="2"/>
  <c r="F121" i="2"/>
  <c r="F122" i="2"/>
  <c r="F123" i="2"/>
  <c r="F124" i="2"/>
  <c r="F126" i="2"/>
  <c r="F127" i="2"/>
  <c r="F128" i="2"/>
  <c r="F131" i="2"/>
  <c r="F144" i="2"/>
  <c r="F235" i="2"/>
  <c r="F133" i="2"/>
  <c r="F135" i="2"/>
  <c r="F136" i="2"/>
  <c r="F137" i="2"/>
  <c r="F138" i="2"/>
  <c r="F139" i="2"/>
  <c r="F140" i="2"/>
  <c r="F141" i="2"/>
  <c r="F142" i="2"/>
  <c r="F143" i="2"/>
  <c r="F117" i="2"/>
  <c r="F145" i="2"/>
  <c r="F147" i="2"/>
  <c r="F148" i="2"/>
  <c r="F149" i="2"/>
  <c r="F150" i="2"/>
  <c r="F151" i="2"/>
  <c r="F153" i="2"/>
  <c r="F154" i="2"/>
  <c r="F155" i="2"/>
  <c r="F156" i="2"/>
  <c r="F157" i="2"/>
  <c r="F158" i="2"/>
  <c r="F159" i="2"/>
  <c r="F160" i="2"/>
  <c r="F205" i="2"/>
  <c r="F162" i="2"/>
  <c r="F163" i="2"/>
  <c r="F164" i="2"/>
  <c r="F165" i="2"/>
  <c r="F166" i="2"/>
  <c r="F167" i="2"/>
  <c r="F171" i="2"/>
  <c r="F80" i="2"/>
  <c r="F177" i="2"/>
  <c r="F172" i="2"/>
  <c r="F173" i="2"/>
  <c r="F175" i="2"/>
  <c r="F176" i="2"/>
  <c r="F179" i="2"/>
  <c r="F181" i="2"/>
  <c r="F108" i="2"/>
  <c r="F182" i="2"/>
  <c r="F185" i="2"/>
  <c r="F186" i="2"/>
  <c r="F187" i="2"/>
  <c r="F188" i="2"/>
  <c r="F189" i="2"/>
  <c r="F190" i="2"/>
  <c r="F191" i="2"/>
  <c r="F193" i="2"/>
  <c r="F194" i="2"/>
  <c r="F195" i="2"/>
  <c r="F196" i="2"/>
  <c r="F197" i="2"/>
  <c r="F199" i="2"/>
  <c r="F201" i="2"/>
  <c r="F77" i="2"/>
  <c r="F202" i="2"/>
  <c r="F203" i="2"/>
  <c r="F204" i="2"/>
  <c r="F208" i="2"/>
  <c r="F209" i="2"/>
  <c r="F210" i="2"/>
  <c r="F211" i="2"/>
  <c r="F212" i="2"/>
  <c r="F213" i="2"/>
  <c r="F107" i="2"/>
  <c r="F214" i="2"/>
  <c r="F215" i="2"/>
  <c r="F217" i="2"/>
  <c r="F218" i="2"/>
  <c r="F220" i="2"/>
  <c r="F221" i="2"/>
  <c r="F222" i="2"/>
  <c r="F223" i="2"/>
  <c r="F224" i="2"/>
  <c r="F226" i="2"/>
  <c r="F230" i="2"/>
  <c r="F231" i="2"/>
  <c r="F232" i="2"/>
  <c r="F234" i="2"/>
  <c r="F238" i="2"/>
  <c r="F240" i="2"/>
  <c r="F241" i="2"/>
  <c r="F242" i="2"/>
  <c r="F244" i="2"/>
  <c r="F245" i="2"/>
  <c r="F246" i="2"/>
  <c r="F247" i="2"/>
  <c r="F248" i="2"/>
  <c r="F249" i="2"/>
  <c r="F250" i="2"/>
  <c r="F251" i="2"/>
  <c r="F252" i="2"/>
  <c r="F253" i="2"/>
  <c r="F254" i="2"/>
  <c r="F255" i="2"/>
  <c r="F256" i="2"/>
  <c r="F257" i="2"/>
  <c r="F258" i="2"/>
  <c r="F169" i="2"/>
  <c r="F114" i="2"/>
  <c r="F260" i="2"/>
  <c r="F130" i="2"/>
  <c r="F104" i="2"/>
  <c r="F39" i="2"/>
  <c r="F229" i="2"/>
  <c r="F200" i="2"/>
  <c r="F120" i="2"/>
  <c r="F63" i="2"/>
  <c r="F44" i="2"/>
  <c r="F134" i="2"/>
  <c r="F74" i="2"/>
  <c r="F125" i="2"/>
  <c r="F207" i="2"/>
  <c r="F110" i="2"/>
  <c r="F180" i="2"/>
  <c r="F129" i="2"/>
  <c r="F184" i="2"/>
  <c r="F19" i="2"/>
  <c r="F206" i="2"/>
  <c r="F17" i="2"/>
  <c r="F178" i="2"/>
  <c r="F111" i="2"/>
  <c r="F49" i="2"/>
  <c r="F174" i="2"/>
  <c r="F170" i="2"/>
  <c r="F233" i="2"/>
  <c r="F161" i="2"/>
  <c r="F236" i="2"/>
  <c r="F118" i="2"/>
  <c r="F225" i="2"/>
  <c r="F259" i="2"/>
  <c r="F103" i="2"/>
  <c r="F152" i="2"/>
  <c r="F239" i="2"/>
  <c r="F132" i="2"/>
  <c r="F146" i="2"/>
  <c r="F243" i="2"/>
  <c r="F216" i="2"/>
  <c r="F228" i="2"/>
  <c r="F168" i="2"/>
  <c r="F198" i="2"/>
  <c r="F237" i="2"/>
  <c r="F192" i="2"/>
  <c r="F183" i="2"/>
  <c r="F227" i="2"/>
  <c r="F31" i="2"/>
  <c r="F79" i="2"/>
  <c r="F3" i="2"/>
  <c r="F4" i="2"/>
  <c r="F5" i="2"/>
  <c r="F6" i="2"/>
  <c r="F7" i="2"/>
  <c r="F8" i="2"/>
  <c r="F9" i="2"/>
  <c r="E3" i="2"/>
  <c r="E4" i="2"/>
  <c r="E5" i="2"/>
  <c r="E6" i="2"/>
  <c r="E7" i="2"/>
  <c r="E8" i="2"/>
  <c r="E9" i="2"/>
  <c r="E10" i="2"/>
  <c r="E11" i="2"/>
  <c r="E12" i="2"/>
  <c r="E13" i="2"/>
  <c r="E14" i="2"/>
  <c r="E15" i="2"/>
  <c r="E16" i="2"/>
  <c r="E18" i="2"/>
  <c r="E20" i="2"/>
  <c r="E21" i="2"/>
  <c r="E22" i="2"/>
  <c r="E23" i="2"/>
  <c r="E24" i="2"/>
  <c r="E25" i="2"/>
  <c r="E27" i="2"/>
  <c r="E26" i="2"/>
  <c r="E28" i="2"/>
  <c r="E29" i="2"/>
  <c r="E30" i="2"/>
  <c r="E219" i="2"/>
  <c r="E32" i="2"/>
  <c r="E33" i="2"/>
  <c r="E34" i="2"/>
  <c r="E35" i="2"/>
  <c r="E37" i="2"/>
  <c r="E38" i="2"/>
  <c r="E40" i="2"/>
  <c r="E41" i="2"/>
  <c r="E42" i="2"/>
  <c r="E43" i="2"/>
  <c r="E45" i="2"/>
  <c r="E46" i="2"/>
  <c r="E47" i="2"/>
  <c r="E48" i="2"/>
  <c r="E50" i="2"/>
  <c r="E52" i="2"/>
  <c r="E53" i="2"/>
  <c r="E51" i="2"/>
  <c r="E54" i="2"/>
  <c r="E55" i="2"/>
  <c r="E56" i="2"/>
  <c r="E57" i="2"/>
  <c r="E61" i="2"/>
  <c r="E58" i="2"/>
  <c r="E59" i="2"/>
  <c r="E60" i="2"/>
  <c r="E62" i="2"/>
  <c r="E64" i="2"/>
  <c r="E65" i="2"/>
  <c r="E66" i="2"/>
  <c r="E67" i="2"/>
  <c r="E68" i="2"/>
  <c r="E69" i="2"/>
  <c r="E70" i="2"/>
  <c r="E71" i="2"/>
  <c r="E72" i="2"/>
  <c r="E73" i="2"/>
  <c r="E75" i="2"/>
  <c r="E76" i="2"/>
  <c r="E36" i="2"/>
  <c r="E78" i="2"/>
  <c r="E81" i="2"/>
  <c r="E82" i="2"/>
  <c r="E83" i="2"/>
  <c r="E84" i="2"/>
  <c r="E85" i="2"/>
  <c r="E86" i="2"/>
  <c r="E87" i="2"/>
  <c r="E88" i="2"/>
  <c r="E89" i="2"/>
  <c r="E90" i="2"/>
  <c r="E91" i="2"/>
  <c r="E92" i="2"/>
  <c r="E93" i="2"/>
  <c r="E94" i="2"/>
  <c r="E95" i="2"/>
  <c r="E96" i="2"/>
  <c r="E97" i="2"/>
  <c r="E98" i="2"/>
  <c r="E99" i="2"/>
  <c r="E100" i="2"/>
  <c r="E101" i="2"/>
  <c r="E102" i="2"/>
  <c r="E105" i="2"/>
  <c r="E106" i="2"/>
  <c r="E109" i="2"/>
  <c r="E112" i="2"/>
  <c r="E113" i="2"/>
  <c r="E115" i="2"/>
  <c r="E116" i="2"/>
  <c r="E119" i="2"/>
  <c r="E121" i="2"/>
  <c r="E122" i="2"/>
  <c r="E123" i="2"/>
  <c r="E124" i="2"/>
  <c r="E126" i="2"/>
  <c r="E127" i="2"/>
  <c r="E128" i="2"/>
  <c r="E131" i="2"/>
  <c r="E144" i="2"/>
  <c r="E235" i="2"/>
  <c r="E133" i="2"/>
  <c r="E135" i="2"/>
  <c r="E136" i="2"/>
  <c r="E137" i="2"/>
  <c r="E138" i="2"/>
  <c r="E139" i="2"/>
  <c r="E140" i="2"/>
  <c r="E141" i="2"/>
  <c r="E142" i="2"/>
  <c r="E143" i="2"/>
  <c r="E117" i="2"/>
  <c r="E145" i="2"/>
  <c r="E147" i="2"/>
  <c r="E148" i="2"/>
  <c r="E149" i="2"/>
  <c r="E150" i="2"/>
  <c r="E151" i="2"/>
  <c r="E153" i="2"/>
  <c r="E154" i="2"/>
  <c r="E155" i="2"/>
  <c r="E156" i="2"/>
  <c r="E157" i="2"/>
  <c r="E158" i="2"/>
  <c r="E159" i="2"/>
  <c r="E160" i="2"/>
  <c r="E205" i="2"/>
  <c r="E162" i="2"/>
  <c r="E163" i="2"/>
  <c r="E164" i="2"/>
  <c r="E165" i="2"/>
  <c r="E166" i="2"/>
  <c r="E167" i="2"/>
  <c r="E171" i="2"/>
  <c r="E80" i="2"/>
  <c r="E177" i="2"/>
  <c r="E172" i="2"/>
  <c r="E173" i="2"/>
  <c r="E175" i="2"/>
  <c r="E176" i="2"/>
  <c r="E179" i="2"/>
  <c r="E181" i="2"/>
  <c r="E108" i="2"/>
  <c r="E182" i="2"/>
  <c r="E185" i="2"/>
  <c r="E186" i="2"/>
  <c r="E187" i="2"/>
  <c r="E188" i="2"/>
  <c r="E189" i="2"/>
  <c r="E190" i="2"/>
  <c r="E191" i="2"/>
  <c r="E193" i="2"/>
  <c r="E194" i="2"/>
  <c r="E195" i="2"/>
  <c r="E196" i="2"/>
  <c r="E197" i="2"/>
  <c r="E199" i="2"/>
  <c r="E201" i="2"/>
  <c r="E77" i="2"/>
  <c r="E202" i="2"/>
  <c r="E203" i="2"/>
  <c r="E204" i="2"/>
  <c r="E208" i="2"/>
  <c r="E209" i="2"/>
  <c r="E210" i="2"/>
  <c r="E211" i="2"/>
  <c r="E212" i="2"/>
  <c r="E213" i="2"/>
  <c r="E107" i="2"/>
  <c r="E214" i="2"/>
  <c r="E215" i="2"/>
  <c r="E217" i="2"/>
  <c r="E218" i="2"/>
  <c r="E220" i="2"/>
  <c r="E221" i="2"/>
  <c r="E222" i="2"/>
  <c r="E223" i="2"/>
  <c r="E224" i="2"/>
  <c r="E226" i="2"/>
  <c r="E230" i="2"/>
  <c r="E231" i="2"/>
  <c r="E232" i="2"/>
  <c r="E234" i="2"/>
  <c r="E238" i="2"/>
  <c r="E240" i="2"/>
  <c r="E241" i="2"/>
  <c r="E242" i="2"/>
  <c r="E244" i="2"/>
  <c r="E245" i="2"/>
  <c r="E246" i="2"/>
  <c r="E247" i="2"/>
  <c r="E248" i="2"/>
  <c r="E249" i="2"/>
  <c r="E250" i="2"/>
  <c r="E251" i="2"/>
  <c r="E252" i="2"/>
  <c r="E253" i="2"/>
  <c r="E254" i="2"/>
  <c r="E255" i="2"/>
  <c r="E256" i="2"/>
  <c r="E257" i="2"/>
  <c r="E258" i="2"/>
  <c r="E169" i="2"/>
  <c r="E114" i="2"/>
  <c r="E260" i="2"/>
  <c r="E130" i="2"/>
  <c r="E104" i="2"/>
  <c r="E39" i="2"/>
  <c r="E229" i="2"/>
  <c r="E200" i="2"/>
  <c r="E120" i="2"/>
  <c r="E63" i="2"/>
  <c r="E44" i="2"/>
  <c r="E134" i="2"/>
  <c r="E74" i="2"/>
  <c r="E125" i="2"/>
  <c r="E207" i="2"/>
  <c r="E110" i="2"/>
  <c r="E180" i="2"/>
  <c r="E129" i="2"/>
  <c r="E184" i="2"/>
  <c r="E19" i="2"/>
  <c r="E206" i="2"/>
  <c r="E17" i="2"/>
  <c r="E178" i="2"/>
  <c r="E111" i="2"/>
  <c r="E49" i="2"/>
  <c r="E174" i="2"/>
  <c r="E170" i="2"/>
  <c r="E233" i="2"/>
  <c r="E161" i="2"/>
  <c r="E236" i="2"/>
  <c r="E118" i="2"/>
  <c r="E225" i="2"/>
  <c r="E259" i="2"/>
  <c r="E103" i="2"/>
  <c r="E152" i="2"/>
  <c r="E239" i="2"/>
  <c r="E132" i="2"/>
  <c r="E146" i="2"/>
  <c r="E243" i="2"/>
  <c r="E216" i="2"/>
  <c r="E228" i="2"/>
  <c r="E168" i="2"/>
  <c r="E198" i="2"/>
  <c r="E237" i="2"/>
  <c r="E192" i="2"/>
  <c r="E183" i="2"/>
  <c r="E227" i="2"/>
  <c r="E31" i="2"/>
  <c r="E79" i="2"/>
  <c r="F2" i="2"/>
  <c r="E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8" i="2"/>
  <c r="C18" i="2"/>
  <c r="D18" i="2"/>
  <c r="B20" i="2"/>
  <c r="C20" i="2"/>
  <c r="D20" i="2"/>
  <c r="B21" i="2"/>
  <c r="C21" i="2"/>
  <c r="D21" i="2"/>
  <c r="B22" i="2"/>
  <c r="C22" i="2"/>
  <c r="D22" i="2"/>
  <c r="B23" i="2"/>
  <c r="C23" i="2"/>
  <c r="D23" i="2"/>
  <c r="B24" i="2"/>
  <c r="C24" i="2"/>
  <c r="D24" i="2"/>
  <c r="B25" i="2"/>
  <c r="C25" i="2"/>
  <c r="D25" i="2"/>
  <c r="B27" i="2"/>
  <c r="C27" i="2"/>
  <c r="D27" i="2"/>
  <c r="B26" i="2"/>
  <c r="C26" i="2"/>
  <c r="D26" i="2"/>
  <c r="B28" i="2"/>
  <c r="C28" i="2"/>
  <c r="D28" i="2"/>
  <c r="B29" i="2"/>
  <c r="C29" i="2"/>
  <c r="D29" i="2"/>
  <c r="B30" i="2"/>
  <c r="C30" i="2"/>
  <c r="D30" i="2"/>
  <c r="B219" i="2"/>
  <c r="C219" i="2"/>
  <c r="D219" i="2"/>
  <c r="B32" i="2"/>
  <c r="C32" i="2"/>
  <c r="D32" i="2"/>
  <c r="B33" i="2"/>
  <c r="C33" i="2"/>
  <c r="D33" i="2"/>
  <c r="B34" i="2"/>
  <c r="C34" i="2"/>
  <c r="D34" i="2"/>
  <c r="B35" i="2"/>
  <c r="C35" i="2"/>
  <c r="D35" i="2"/>
  <c r="B37" i="2"/>
  <c r="C37" i="2"/>
  <c r="D37" i="2"/>
  <c r="B38" i="2"/>
  <c r="C38" i="2"/>
  <c r="D38" i="2"/>
  <c r="B40" i="2"/>
  <c r="C40" i="2"/>
  <c r="D40" i="2"/>
  <c r="B41" i="2"/>
  <c r="C41" i="2"/>
  <c r="D41" i="2"/>
  <c r="B42" i="2"/>
  <c r="C42" i="2"/>
  <c r="D42" i="2"/>
  <c r="B43" i="2"/>
  <c r="C43" i="2"/>
  <c r="D43" i="2"/>
  <c r="B45" i="2"/>
  <c r="C45" i="2"/>
  <c r="D45" i="2"/>
  <c r="B46" i="2"/>
  <c r="C46" i="2"/>
  <c r="D46" i="2"/>
  <c r="B47" i="2"/>
  <c r="C47" i="2"/>
  <c r="D47" i="2"/>
  <c r="B48" i="2"/>
  <c r="C48" i="2"/>
  <c r="D48" i="2"/>
  <c r="B50" i="2"/>
  <c r="C50" i="2"/>
  <c r="D50" i="2"/>
  <c r="B52" i="2"/>
  <c r="C52" i="2"/>
  <c r="D52" i="2"/>
  <c r="B53" i="2"/>
  <c r="C53" i="2"/>
  <c r="D53" i="2"/>
  <c r="B51" i="2"/>
  <c r="C51" i="2"/>
  <c r="D51" i="2"/>
  <c r="B54" i="2"/>
  <c r="C54" i="2"/>
  <c r="D54" i="2"/>
  <c r="B55" i="2"/>
  <c r="C55" i="2"/>
  <c r="D55" i="2"/>
  <c r="B56" i="2"/>
  <c r="C56" i="2"/>
  <c r="D56" i="2"/>
  <c r="B57" i="2"/>
  <c r="C57" i="2"/>
  <c r="D57" i="2"/>
  <c r="B61" i="2"/>
  <c r="C61" i="2"/>
  <c r="D61" i="2"/>
  <c r="B58" i="2"/>
  <c r="C58" i="2"/>
  <c r="D58" i="2"/>
  <c r="B59" i="2"/>
  <c r="C59" i="2"/>
  <c r="D59" i="2"/>
  <c r="B60" i="2"/>
  <c r="C60" i="2"/>
  <c r="D60" i="2"/>
  <c r="B62" i="2"/>
  <c r="C62" i="2"/>
  <c r="D62"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5" i="2"/>
  <c r="C75" i="2"/>
  <c r="D75" i="2"/>
  <c r="B76" i="2"/>
  <c r="C76" i="2"/>
  <c r="D76" i="2"/>
  <c r="B36" i="2"/>
  <c r="C36" i="2"/>
  <c r="D36" i="2"/>
  <c r="B78" i="2"/>
  <c r="C78" i="2"/>
  <c r="D78"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5" i="2"/>
  <c r="C105" i="2"/>
  <c r="D105" i="2"/>
  <c r="B106" i="2"/>
  <c r="C106" i="2"/>
  <c r="D106" i="2"/>
  <c r="B109" i="2"/>
  <c r="C109" i="2"/>
  <c r="D109" i="2"/>
  <c r="B112" i="2"/>
  <c r="C112" i="2"/>
  <c r="D112" i="2"/>
  <c r="B113" i="2"/>
  <c r="C113" i="2"/>
  <c r="D113" i="2"/>
  <c r="B115" i="2"/>
  <c r="C115" i="2"/>
  <c r="D115" i="2"/>
  <c r="B116" i="2"/>
  <c r="C116" i="2"/>
  <c r="D116" i="2"/>
  <c r="B119" i="2"/>
  <c r="C119" i="2"/>
  <c r="D119" i="2"/>
  <c r="B121" i="2"/>
  <c r="C121" i="2"/>
  <c r="D121" i="2"/>
  <c r="B122" i="2"/>
  <c r="C122" i="2"/>
  <c r="D122" i="2"/>
  <c r="B123" i="2"/>
  <c r="C123" i="2"/>
  <c r="D123" i="2"/>
  <c r="B124" i="2"/>
  <c r="C124" i="2"/>
  <c r="D124" i="2"/>
  <c r="B126" i="2"/>
  <c r="C126" i="2"/>
  <c r="D126" i="2"/>
  <c r="B127" i="2"/>
  <c r="C127" i="2"/>
  <c r="D127" i="2"/>
  <c r="B128" i="2"/>
  <c r="C128" i="2"/>
  <c r="D128" i="2"/>
  <c r="B131" i="2"/>
  <c r="C131" i="2"/>
  <c r="D131" i="2"/>
  <c r="B144" i="2"/>
  <c r="C144" i="2"/>
  <c r="D144" i="2"/>
  <c r="B235" i="2"/>
  <c r="C235" i="2"/>
  <c r="D235" i="2"/>
  <c r="B133" i="2"/>
  <c r="C133" i="2"/>
  <c r="D133"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17" i="2"/>
  <c r="C117" i="2"/>
  <c r="D117" i="2"/>
  <c r="B145" i="2"/>
  <c r="C145" i="2"/>
  <c r="D145" i="2"/>
  <c r="B147" i="2"/>
  <c r="C147" i="2"/>
  <c r="D147" i="2"/>
  <c r="B148" i="2"/>
  <c r="C148" i="2"/>
  <c r="D148" i="2"/>
  <c r="B149" i="2"/>
  <c r="C149" i="2"/>
  <c r="D149" i="2"/>
  <c r="B150" i="2"/>
  <c r="C150" i="2"/>
  <c r="D150" i="2"/>
  <c r="B151" i="2"/>
  <c r="C151" i="2"/>
  <c r="D151" i="2"/>
  <c r="B153" i="2"/>
  <c r="C153" i="2"/>
  <c r="D153" i="2"/>
  <c r="B154" i="2"/>
  <c r="C154" i="2"/>
  <c r="D154" i="2"/>
  <c r="B155" i="2"/>
  <c r="C155" i="2"/>
  <c r="D155" i="2"/>
  <c r="B156" i="2"/>
  <c r="C156" i="2"/>
  <c r="D156" i="2"/>
  <c r="B157" i="2"/>
  <c r="C157" i="2"/>
  <c r="D157" i="2"/>
  <c r="B158" i="2"/>
  <c r="C158" i="2"/>
  <c r="D158" i="2"/>
  <c r="B159" i="2"/>
  <c r="C159" i="2"/>
  <c r="D159" i="2"/>
  <c r="B160" i="2"/>
  <c r="C160" i="2"/>
  <c r="D160" i="2"/>
  <c r="B205" i="2"/>
  <c r="C205" i="2"/>
  <c r="D205" i="2"/>
  <c r="B162" i="2"/>
  <c r="C162" i="2"/>
  <c r="D162" i="2"/>
  <c r="B163" i="2"/>
  <c r="C163" i="2"/>
  <c r="D163" i="2"/>
  <c r="B164" i="2"/>
  <c r="C164" i="2"/>
  <c r="D164" i="2"/>
  <c r="B165" i="2"/>
  <c r="C165" i="2"/>
  <c r="D165" i="2"/>
  <c r="B166" i="2"/>
  <c r="C166" i="2"/>
  <c r="D166" i="2"/>
  <c r="B167" i="2"/>
  <c r="C167" i="2"/>
  <c r="D167" i="2"/>
  <c r="B171" i="2"/>
  <c r="C171" i="2"/>
  <c r="D171" i="2"/>
  <c r="B80" i="2"/>
  <c r="C80" i="2"/>
  <c r="D80" i="2"/>
  <c r="B177" i="2"/>
  <c r="C177" i="2"/>
  <c r="D177" i="2"/>
  <c r="B172" i="2"/>
  <c r="C172" i="2"/>
  <c r="D172" i="2"/>
  <c r="B173" i="2"/>
  <c r="C173" i="2"/>
  <c r="D173" i="2"/>
  <c r="B175" i="2"/>
  <c r="C175" i="2"/>
  <c r="D175" i="2"/>
  <c r="B176" i="2"/>
  <c r="C176" i="2"/>
  <c r="D176" i="2"/>
  <c r="B179" i="2"/>
  <c r="C179" i="2"/>
  <c r="D179" i="2"/>
  <c r="B181" i="2"/>
  <c r="C181" i="2"/>
  <c r="D181" i="2"/>
  <c r="B108" i="2"/>
  <c r="C108" i="2"/>
  <c r="D108" i="2"/>
  <c r="B182" i="2"/>
  <c r="C182" i="2"/>
  <c r="D182" i="2"/>
  <c r="B185" i="2"/>
  <c r="C185" i="2"/>
  <c r="D185" i="2"/>
  <c r="B186" i="2"/>
  <c r="C186" i="2"/>
  <c r="D186" i="2"/>
  <c r="B187" i="2"/>
  <c r="C187" i="2"/>
  <c r="D187" i="2"/>
  <c r="B188" i="2"/>
  <c r="C188" i="2"/>
  <c r="D188" i="2"/>
  <c r="B189" i="2"/>
  <c r="C189" i="2"/>
  <c r="D189" i="2"/>
  <c r="B190" i="2"/>
  <c r="C190" i="2"/>
  <c r="D190" i="2"/>
  <c r="B191" i="2"/>
  <c r="C191" i="2"/>
  <c r="D191" i="2"/>
  <c r="B193" i="2"/>
  <c r="C193" i="2"/>
  <c r="D193" i="2"/>
  <c r="B194" i="2"/>
  <c r="C194" i="2"/>
  <c r="D194" i="2"/>
  <c r="B195" i="2"/>
  <c r="C195" i="2"/>
  <c r="D195" i="2"/>
  <c r="B196" i="2"/>
  <c r="C196" i="2"/>
  <c r="D196" i="2"/>
  <c r="B197" i="2"/>
  <c r="C197" i="2"/>
  <c r="D197" i="2"/>
  <c r="B199" i="2"/>
  <c r="C199" i="2"/>
  <c r="D199" i="2"/>
  <c r="B201" i="2"/>
  <c r="C201" i="2"/>
  <c r="D201" i="2"/>
  <c r="B77" i="2"/>
  <c r="C77" i="2"/>
  <c r="D77" i="2"/>
  <c r="B202" i="2"/>
  <c r="C202" i="2"/>
  <c r="D202" i="2"/>
  <c r="B203" i="2"/>
  <c r="C203" i="2"/>
  <c r="D203" i="2"/>
  <c r="B204" i="2"/>
  <c r="C204" i="2"/>
  <c r="D204" i="2"/>
  <c r="B208" i="2"/>
  <c r="C208" i="2"/>
  <c r="D208" i="2"/>
  <c r="B209" i="2"/>
  <c r="C209" i="2"/>
  <c r="D209" i="2"/>
  <c r="B210" i="2"/>
  <c r="C210" i="2"/>
  <c r="D210" i="2"/>
  <c r="B211" i="2"/>
  <c r="C211" i="2"/>
  <c r="D211" i="2"/>
  <c r="B212" i="2"/>
  <c r="C212" i="2"/>
  <c r="D212" i="2"/>
  <c r="B213" i="2"/>
  <c r="C213" i="2"/>
  <c r="D213" i="2"/>
  <c r="B107" i="2"/>
  <c r="C107" i="2"/>
  <c r="D107" i="2"/>
  <c r="B214" i="2"/>
  <c r="C214" i="2"/>
  <c r="D214" i="2"/>
  <c r="B215" i="2"/>
  <c r="C215" i="2"/>
  <c r="D215" i="2"/>
  <c r="B217" i="2"/>
  <c r="C217" i="2"/>
  <c r="D217" i="2"/>
  <c r="B218" i="2"/>
  <c r="C218" i="2"/>
  <c r="D218" i="2"/>
  <c r="B220" i="2"/>
  <c r="C220" i="2"/>
  <c r="D220" i="2"/>
  <c r="B221" i="2"/>
  <c r="C221" i="2"/>
  <c r="D221" i="2"/>
  <c r="B222" i="2"/>
  <c r="C222" i="2"/>
  <c r="D222" i="2"/>
  <c r="B223" i="2"/>
  <c r="C223" i="2"/>
  <c r="D223" i="2"/>
  <c r="B224" i="2"/>
  <c r="C224" i="2"/>
  <c r="D224" i="2"/>
  <c r="B226" i="2"/>
  <c r="C226" i="2"/>
  <c r="D226" i="2"/>
  <c r="B230" i="2"/>
  <c r="C230" i="2"/>
  <c r="D230" i="2"/>
  <c r="B231" i="2"/>
  <c r="C231" i="2"/>
  <c r="D231" i="2"/>
  <c r="B232" i="2"/>
  <c r="C232" i="2"/>
  <c r="D232" i="2"/>
  <c r="B234" i="2"/>
  <c r="C234" i="2"/>
  <c r="D234" i="2"/>
  <c r="B238" i="2"/>
  <c r="C238" i="2"/>
  <c r="D238" i="2"/>
  <c r="B240" i="2"/>
  <c r="C240" i="2"/>
  <c r="D240" i="2"/>
  <c r="B241" i="2"/>
  <c r="C241" i="2"/>
  <c r="D241" i="2"/>
  <c r="B242" i="2"/>
  <c r="C242" i="2"/>
  <c r="D242"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169" i="2"/>
  <c r="C169" i="2"/>
  <c r="D169" i="2"/>
  <c r="B114" i="2"/>
  <c r="C114" i="2"/>
  <c r="D114" i="2"/>
  <c r="B260" i="2"/>
  <c r="C260" i="2"/>
  <c r="D260" i="2"/>
  <c r="B130" i="2"/>
  <c r="C130" i="2"/>
  <c r="D130" i="2"/>
  <c r="B104" i="2"/>
  <c r="C104" i="2"/>
  <c r="D104" i="2"/>
  <c r="B39" i="2"/>
  <c r="C39" i="2"/>
  <c r="D39" i="2"/>
  <c r="B229" i="2"/>
  <c r="C229" i="2"/>
  <c r="D229" i="2"/>
  <c r="B200" i="2"/>
  <c r="C200" i="2"/>
  <c r="D200" i="2"/>
  <c r="B120" i="2"/>
  <c r="C120" i="2"/>
  <c r="D120" i="2"/>
  <c r="B63" i="2"/>
  <c r="C63" i="2"/>
  <c r="D63" i="2"/>
  <c r="B44" i="2"/>
  <c r="C44" i="2"/>
  <c r="D44" i="2"/>
  <c r="B134" i="2"/>
  <c r="C134" i="2"/>
  <c r="D134" i="2"/>
  <c r="B74" i="2"/>
  <c r="C74" i="2"/>
  <c r="D74" i="2"/>
  <c r="B125" i="2"/>
  <c r="C125" i="2"/>
  <c r="D125" i="2"/>
  <c r="B207" i="2"/>
  <c r="C207" i="2"/>
  <c r="D207" i="2"/>
  <c r="B110" i="2"/>
  <c r="C110" i="2"/>
  <c r="D110" i="2"/>
  <c r="B180" i="2"/>
  <c r="C180" i="2"/>
  <c r="D180" i="2"/>
  <c r="B129" i="2"/>
  <c r="C129" i="2"/>
  <c r="D129" i="2"/>
  <c r="B184" i="2"/>
  <c r="C184" i="2"/>
  <c r="D184" i="2"/>
  <c r="B19" i="2"/>
  <c r="C19" i="2"/>
  <c r="D19" i="2"/>
  <c r="B206" i="2"/>
  <c r="C206" i="2"/>
  <c r="D206" i="2"/>
  <c r="B17" i="2"/>
  <c r="C17" i="2"/>
  <c r="D17" i="2"/>
  <c r="B178" i="2"/>
  <c r="C178" i="2"/>
  <c r="D178" i="2"/>
  <c r="B111" i="2"/>
  <c r="C111" i="2"/>
  <c r="D111" i="2"/>
  <c r="B49" i="2"/>
  <c r="C49" i="2"/>
  <c r="D49" i="2"/>
  <c r="B174" i="2"/>
  <c r="C174" i="2"/>
  <c r="D174" i="2"/>
  <c r="B170" i="2"/>
  <c r="C170" i="2"/>
  <c r="D170" i="2"/>
  <c r="B233" i="2"/>
  <c r="C233" i="2"/>
  <c r="D233" i="2"/>
  <c r="B161" i="2"/>
  <c r="C161" i="2"/>
  <c r="D161" i="2"/>
  <c r="B236" i="2"/>
  <c r="C236" i="2"/>
  <c r="D236" i="2"/>
  <c r="B118" i="2"/>
  <c r="C118" i="2"/>
  <c r="D118" i="2"/>
  <c r="B225" i="2"/>
  <c r="C225" i="2"/>
  <c r="D225" i="2"/>
  <c r="B259" i="2"/>
  <c r="C259" i="2"/>
  <c r="D259" i="2"/>
  <c r="B103" i="2"/>
  <c r="C103" i="2"/>
  <c r="D103" i="2"/>
  <c r="B152" i="2"/>
  <c r="C152" i="2"/>
  <c r="D152" i="2"/>
  <c r="B239" i="2"/>
  <c r="C239" i="2"/>
  <c r="D239" i="2"/>
  <c r="B132" i="2"/>
  <c r="C132" i="2"/>
  <c r="D132" i="2"/>
  <c r="B146" i="2"/>
  <c r="C146" i="2"/>
  <c r="D146" i="2"/>
  <c r="B243" i="2"/>
  <c r="C243" i="2"/>
  <c r="D243" i="2"/>
  <c r="B216" i="2"/>
  <c r="C216" i="2"/>
  <c r="D216" i="2"/>
  <c r="B228" i="2"/>
  <c r="C228" i="2"/>
  <c r="D228" i="2"/>
  <c r="B168" i="2"/>
  <c r="C168" i="2"/>
  <c r="D168" i="2"/>
  <c r="B198" i="2"/>
  <c r="C198" i="2"/>
  <c r="D198" i="2"/>
  <c r="B237" i="2"/>
  <c r="C237" i="2"/>
  <c r="D237" i="2"/>
  <c r="B192" i="2"/>
  <c r="C192" i="2"/>
  <c r="D192" i="2"/>
  <c r="B183" i="2"/>
  <c r="C183" i="2"/>
  <c r="D183" i="2"/>
  <c r="B227" i="2"/>
  <c r="C227" i="2"/>
  <c r="D227" i="2"/>
  <c r="B31" i="2"/>
  <c r="C31" i="2"/>
  <c r="D31" i="2"/>
  <c r="B79" i="2"/>
  <c r="C79" i="2"/>
  <c r="D79" i="2"/>
  <c r="D2" i="2"/>
  <c r="C2" i="2"/>
  <c r="B2" i="2"/>
</calcChain>
</file>

<file path=xl/sharedStrings.xml><?xml version="1.0" encoding="utf-8"?>
<sst xmlns="http://schemas.openxmlformats.org/spreadsheetml/2006/main" count="2790" uniqueCount="1291">
  <si>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</si>
  <si>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</si>
  <si>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</si>
  <si>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</si>
  <si>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</si>
  <si>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</si>
  <si>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</si>
  <si>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</si>
  <si>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</si>
  <si>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</si>
  <si>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</si>
  <si>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</si>
  <si>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</si>
  <si>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</si>
  <si>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</si>
  <si>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</si>
  <si>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</si>
  <si>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</si>
  <si>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</si>
  <si>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</si>
  <si>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</si>
  <si>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</si>
  <si>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</si>
  <si>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</si>
  <si>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</si>
  <si>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</si>
  <si>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</si>
  <si>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</si>
  <si>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</si>
  <si>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</si>
  <si>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</si>
  <si>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</si>
  <si>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</si>
  <si>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</si>
  <si>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</si>
  <si>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</si>
  <si>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</si>
  <si>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</si>
  <si>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</si>
  <si>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</si>
  <si>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</si>
  <si>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</si>
  <si>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</si>
  <si>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</si>
  <si>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</si>
  <si>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</si>
  <si>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</si>
  <si>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</si>
  <si>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</si>
  <si>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</si>
  <si>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</si>
  <si>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</si>
  <si>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</si>
  <si>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</si>
  <si>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</si>
  <si>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</si>
  <si>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</si>
  <si>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</si>
  <si>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</si>
  <si>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</si>
  <si>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</si>
  <si>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</si>
  <si>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</si>
  <si>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</si>
  <si>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</si>
  <si>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</si>
  <si>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</si>
  <si>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</si>
  <si>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</si>
  <si>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</si>
  <si>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</si>
  <si>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</si>
  <si>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</si>
  <si>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</si>
  <si>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</si>
  <si>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</si>
  <si>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</si>
  <si>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</si>
  <si>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</si>
  <si>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</si>
  <si>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</si>
  <si>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</si>
  <si>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</si>
  <si>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</si>
  <si>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</si>
  <si>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</si>
  <si>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</si>
  <si>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</si>
  <si>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</si>
  <si>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</si>
  <si>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</si>
  <si>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</si>
  <si>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</si>
  <si>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</si>
  <si>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</si>
  <si>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</si>
  <si>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</si>
  <si>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</si>
  <si>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</si>
  <si>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</si>
  <si>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</si>
  <si>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</si>
  <si>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</si>
  <si>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</si>
  <si>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</si>
  <si>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</si>
  <si>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</si>
  <si>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</si>
  <si>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</si>
  <si>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</si>
  <si>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</si>
  <si>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</si>
  <si>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</si>
  <si>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</si>
  <si>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</si>
  <si>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</si>
  <si>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</si>
  <si>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</si>
  <si>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</si>
  <si>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</si>
  <si>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</si>
  <si>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</si>
  <si>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</si>
  <si>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</si>
  <si>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</si>
  <si>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</si>
  <si>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</si>
  <si>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</si>
  <si>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</si>
  <si>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</si>
  <si>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</si>
  <si>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</si>
  <si>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</si>
  <si>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</si>
  <si>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</si>
  <si>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</si>
  <si>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</si>
  <si>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</si>
  <si>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</si>
  <si>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</si>
  <si>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</si>
  <si>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</si>
  <si>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</si>
  <si>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</si>
  <si>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</si>
  <si>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</si>
  <si>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</si>
  <si>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</si>
  <si>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</si>
  <si>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</si>
  <si>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</si>
  <si>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</si>
  <si>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</si>
  <si>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</si>
  <si>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</si>
  <si>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</si>
  <si>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</si>
  <si>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</si>
  <si>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</si>
  <si>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</si>
  <si>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</si>
  <si>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</si>
  <si>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</si>
  <si>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</si>
  <si>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</si>
  <si>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</si>
  <si>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</si>
  <si>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</si>
  <si>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</si>
  <si>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</si>
  <si>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</si>
  <si>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</si>
  <si>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</si>
  <si>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</si>
  <si>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</si>
  <si>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</si>
  <si>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</si>
  <si>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</si>
  <si>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</si>
  <si>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</si>
  <si>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</si>
  <si>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</si>
  <si>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</si>
  <si>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</si>
  <si>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</si>
  <si>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</si>
  <si>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</si>
  <si>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</si>
  <si>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</si>
  <si>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</si>
  <si>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</si>
  <si>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</si>
  <si>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</si>
  <si>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</si>
  <si>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</si>
  <si>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</si>
  <si>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</si>
  <si>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</si>
  <si>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</si>
  <si>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</si>
  <si>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</si>
  <si>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</si>
  <si>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</si>
  <si>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</si>
  <si>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</si>
  <si>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</si>
  <si>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</si>
  <si>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</si>
  <si>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</si>
  <si>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</si>
  <si>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</si>
  <si>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</si>
  <si>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</si>
  <si>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</si>
  <si>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</si>
  <si>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</si>
  <si>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</si>
  <si>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</si>
  <si>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</si>
  <si>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</si>
  <si>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</si>
  <si>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</si>
  <si>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</si>
  <si>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</si>
  <si>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</si>
  <si>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</si>
  <si>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</si>
  <si>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</si>
  <si>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</si>
  <si>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</si>
  <si>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</si>
  <si>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</si>
  <si>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</si>
  <si>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</si>
  <si>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</si>
  <si>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</si>
  <si>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</si>
  <si>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</si>
  <si>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</si>
  <si>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</si>
  <si>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</si>
  <si>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</si>
  <si>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</si>
  <si>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</si>
  <si>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</si>
  <si>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</si>
  <si>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</si>
  <si>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</si>
  <si>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</si>
  <si>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</si>
  <si>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</si>
  <si>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</si>
  <si>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</si>
  <si>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</si>
  <si>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</si>
  <si>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</si>
  <si>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</si>
  <si>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</si>
  <si>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</si>
  <si>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</si>
  <si>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</si>
  <si>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</si>
  <si>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</si>
  <si>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</si>
  <si>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</si>
  <si>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</si>
  <si>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</si>
  <si>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</si>
  <si>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</si>
  <si>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</si>
  <si>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</si>
  <si>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</si>
  <si>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</si>
  <si>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</si>
  <si>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</si>
  <si>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</si>
  <si>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</si>
  <si>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</si>
  <si>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</si>
  <si>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</si>
  <si>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</si>
  <si>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</si>
  <si>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</si>
  <si>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</si>
  <si>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</si>
  <si>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</si>
  <si>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</si>
  <si>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</si>
  <si>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</si>
  <si>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</si>
  <si>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</si>
  <si>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</si>
  <si>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</si>
  <si>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</si>
  <si>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</si>
  <si>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</si>
  <si>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</si>
  <si>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</si>
  <si>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</si>
  <si>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</si>
  <si>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</si>
  <si>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</si>
  <si>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</si>
  <si>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</si>
  <si>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</si>
  <si>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</si>
  <si>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</si>
  <si>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</si>
  <si>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</si>
  <si>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</si>
  <si>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</si>
  <si>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</si>
  <si>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</si>
  <si>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</si>
  <si>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</si>
  <si>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</si>
  <si>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</si>
  <si>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</si>
  <si>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</si>
  <si>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</si>
  <si>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</si>
  <si>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</si>
  <si>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</si>
  <si>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</si>
  <si>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</si>
  <si>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</si>
  <si>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</si>
  <si>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</si>
  <si>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</si>
  <si>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</si>
  <si>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</si>
  <si>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</si>
  <si>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</si>
  <si>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</si>
  <si>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</si>
  <si>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</si>
  <si>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</si>
  <si>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</si>
  <si>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</si>
  <si>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</si>
  <si>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</si>
  <si>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</si>
  <si>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</si>
  <si>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</si>
  <si>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</si>
  <si>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</si>
  <si>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</si>
  <si>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</si>
  <si>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</si>
  <si>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</si>
  <si>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</si>
  <si>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</si>
  <si>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</si>
  <si>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</si>
  <si>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</si>
  <si>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</si>
  <si>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</si>
  <si>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</si>
  <si>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</si>
  <si>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</si>
  <si>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</si>
  <si>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</si>
  <si>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</si>
  <si>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</si>
  <si>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</si>
  <si>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</si>
  <si>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</si>
  <si>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</si>
  <si>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</si>
  <si>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</si>
  <si>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</si>
  <si>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</si>
  <si>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</si>
  <si>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</si>
  <si>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</si>
  <si>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</si>
  <si>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</si>
  <si>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</si>
  <si>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</si>
  <si>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</si>
  <si>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</si>
  <si>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</si>
  <si>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</si>
  <si>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</si>
  <si>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</si>
  <si>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</si>
  <si>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</si>
  <si>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</si>
  <si>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</si>
  <si>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</si>
  <si>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</si>
  <si>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</si>
  <si>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</si>
  <si>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</si>
  <si>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</si>
  <si>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</si>
  <si>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</si>
  <si>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</si>
  <si>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</si>
  <si>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</si>
  <si>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</si>
  <si>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</si>
  <si>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</si>
  <si>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</si>
  <si>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</si>
  <si>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</si>
  <si>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</si>
  <si>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</si>
  <si>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</si>
  <si>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</si>
  <si>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</si>
  <si>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</si>
  <si>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</si>
  <si>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</si>
  <si>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</si>
  <si>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</si>
  <si>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</si>
  <si>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</si>
  <si>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</si>
  <si>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</si>
  <si>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</si>
  <si>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</si>
  <si>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</si>
  <si>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</si>
  <si>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</si>
  <si>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</si>
  <si>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</si>
  <si>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</si>
  <si>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</si>
  <si>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</si>
  <si>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</si>
  <si>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</si>
  <si>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</si>
  <si>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</si>
  <si>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</si>
  <si>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</si>
  <si>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</si>
  <si>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</si>
  <si>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</si>
  <si>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</si>
  <si>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</si>
  <si>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</si>
  <si>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</si>
  <si>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</si>
  <si>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</si>
  <si>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</si>
  <si>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</si>
  <si>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</si>
  <si>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</si>
  <si>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</si>
  <si>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</si>
  <si>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</si>
  <si>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</si>
  <si>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</si>
  <si>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</si>
  <si>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</si>
  <si>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</si>
  <si>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</si>
  <si>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</si>
  <si>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</si>
  <si>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</si>
  <si>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</si>
  <si>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</si>
  <si>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</si>
  <si>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</si>
  <si>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</si>
  <si>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</si>
  <si>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</si>
  <si>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</si>
  <si>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</si>
  <si>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</si>
  <si>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</si>
  <si>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</si>
  <si>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</si>
  <si>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</si>
  <si>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</si>
  <si>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</si>
  <si>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</si>
  <si>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</si>
  <si>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</si>
  <si>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</si>
  <si>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</si>
  <si>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</si>
  <si>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</si>
  <si>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</si>
  <si>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</si>
  <si>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</si>
  <si>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</si>
  <si>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</si>
  <si>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</si>
  <si>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</si>
  <si>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</si>
  <si>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</si>
  <si>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</si>
  <si>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</si>
  <si>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</si>
  <si>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</si>
  <si>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</si>
  <si>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</si>
  <si>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</si>
  <si>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</si>
  <si>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</si>
  <si>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</si>
  <si>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</si>
  <si>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</si>
  <si>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</si>
  <si>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</si>
  <si>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</si>
  <si>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</si>
  <si>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</si>
  <si>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</si>
  <si>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</si>
  <si>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</si>
  <si>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</si>
  <si>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</si>
  <si>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</si>
  <si>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</si>
  <si>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</si>
  <si>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</si>
  <si>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</si>
  <si>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</si>
  <si>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</si>
  <si>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</si>
  <si>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</si>
  <si>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</si>
  <si>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</si>
  <si>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</si>
  <si>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</si>
  <si>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</si>
  <si>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</si>
  <si>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</si>
  <si>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</si>
  <si>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</si>
  <si>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</si>
  <si>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</si>
  <si>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</si>
  <si>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</si>
  <si>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</si>
  <si>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</si>
  <si>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</si>
  <si>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</si>
  <si>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</si>
  <si>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</si>
  <si>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</si>
  <si>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</si>
  <si>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</si>
  <si>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</si>
  <si>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</si>
  <si>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</si>
  <si>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</si>
  <si>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</si>
  <si>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</si>
  <si>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</si>
  <si>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</si>
  <si>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</si>
  <si>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</si>
  <si>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</si>
  <si>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</si>
  <si>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</si>
  <si>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</si>
  <si>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</si>
  <si>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</si>
  <si>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</si>
  <si>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</si>
  <si>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</si>
  <si>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</si>
  <si>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</si>
  <si>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</si>
  <si>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</si>
  <si>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</si>
  <si>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</si>
  <si>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</si>
  <si>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</si>
  <si>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</si>
  <si>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</si>
  <si>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</si>
  <si>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</si>
  <si>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</si>
  <si>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</si>
  <si>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</si>
  <si>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</si>
  <si>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</si>
  <si>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</si>
  <si>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</si>
  <si>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</si>
  <si>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</si>
  <si>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</si>
  <si>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</si>
  <si>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</si>
  <si>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</si>
  <si>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</si>
  <si>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</si>
  <si>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</si>
  <si>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</si>
  <si>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</si>
  <si>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</si>
  <si>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</si>
  <si>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</si>
  <si>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</si>
  <si>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</si>
  <si>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</si>
  <si>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</si>
  <si>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</si>
  <si>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</si>
  <si>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</si>
  <si>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</si>
  <si>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</si>
  <si>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</si>
  <si>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</si>
  <si>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</si>
  <si>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</si>
  <si>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</si>
  <si>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</si>
  <si>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</si>
  <si>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</si>
  <si>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</si>
  <si>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</si>
  <si>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</si>
  <si>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</si>
  <si>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</si>
  <si>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</si>
  <si>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</si>
  <si>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</si>
  <si>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</si>
  <si>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</si>
  <si>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</si>
  <si>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</si>
  <si>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</si>
  <si>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</si>
  <si>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</si>
  <si>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</si>
  <si>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</si>
  <si>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</si>
  <si>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</si>
  <si>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</si>
  <si>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</si>
  <si>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</si>
  <si>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</si>
  <si>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</si>
  <si>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</si>
  <si>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</si>
  <si>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</si>
  <si>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</si>
  <si>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</si>
  <si>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</si>
  <si>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</si>
  <si>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</si>
  <si>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</si>
  <si>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</si>
  <si>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</si>
  <si>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</si>
  <si>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</si>
  <si>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</si>
  <si>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</si>
  <si>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</si>
  <si>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</si>
  <si>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</si>
  <si>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</si>
  <si>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</si>
  <si>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</si>
  <si>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</si>
  <si>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</si>
  <si>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</si>
  <si>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</si>
  <si>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</si>
  <si>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</si>
  <si>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</si>
  <si>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</si>
  <si>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</si>
  <si>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</si>
  <si>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</si>
  <si>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</si>
  <si>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</si>
  <si>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</si>
  <si>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</si>
  <si>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</si>
  <si>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</si>
  <si>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</si>
  <si>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</si>
  <si>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</si>
  <si>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</si>
  <si>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</si>
  <si>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</si>
  <si>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</si>
  <si>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</si>
  <si>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</si>
  <si>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</si>
  <si>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</si>
  <si>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</si>
  <si>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</si>
  <si>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</si>
  <si>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</si>
  <si>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</si>
  <si>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</si>
  <si>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</si>
  <si>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</si>
  <si>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</si>
  <si>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</si>
  <si>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</si>
  <si>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</si>
  <si>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</si>
  <si>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</si>
  <si>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</si>
  <si>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</si>
  <si>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</si>
  <si>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</si>
  <si>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</si>
  <si>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</si>
  <si>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</si>
  <si>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</si>
  <si>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</si>
  <si>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</si>
  <si>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</si>
  <si>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</si>
  <si>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</si>
  <si>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</si>
  <si>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</si>
  <si>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</si>
  <si>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</si>
  <si>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</si>
  <si>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</si>
  <si>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</si>
  <si>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</si>
  <si>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</si>
  <si>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</si>
  <si>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</si>
  <si>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</si>
  <si>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</si>
  <si>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</si>
  <si>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</si>
  <si>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</si>
  <si>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</si>
  <si>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</si>
  <si>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</si>
  <si>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</si>
  <si>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</si>
  <si>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</si>
  <si>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</si>
  <si>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</si>
  <si>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</si>
  <si>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</si>
  <si>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</si>
  <si>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</si>
  <si>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</si>
  <si>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</si>
  <si>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</si>
  <si>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</si>
  <si>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</si>
  <si>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</si>
  <si>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</si>
  <si>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</si>
  <si>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</si>
  <si>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</si>
  <si>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</si>
  <si>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</si>
  <si>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</si>
  <si>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</si>
  <si>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</si>
  <si>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</si>
  <si>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</si>
  <si>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</si>
  <si>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</si>
  <si>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</si>
  <si>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</si>
  <si>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</si>
  <si>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</si>
  <si>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</si>
  <si>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</si>
  <si>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</si>
  <si>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</si>
  <si>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</si>
  <si>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</si>
  <si>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</si>
  <si>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</si>
  <si>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</si>
  <si>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</si>
  <si>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</si>
  <si>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</si>
  <si>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</si>
  <si>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</si>
  <si>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</si>
  <si>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</si>
  <si>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</si>
  <si>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</si>
  <si>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</si>
  <si>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</si>
  <si>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</si>
  <si>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</si>
  <si>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</si>
  <si>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</si>
  <si>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</si>
  <si>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</si>
  <si>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</si>
  <si>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</si>
  <si>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</si>
  <si>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</si>
  <si>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</si>
  <si>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</si>
  <si>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</si>
  <si>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</si>
  <si>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</si>
  <si>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</si>
  <si>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</si>
  <si>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</si>
  <si>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</si>
  <si>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</si>
  <si>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</si>
  <si>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</si>
  <si>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</si>
  <si>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</si>
  <si>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</si>
  <si>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</si>
  <si>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</si>
  <si>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</si>
  <si>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</si>
  <si>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</si>
  <si>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</si>
  <si>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</si>
  <si>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</si>
  <si>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</si>
  <si>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</si>
  <si>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</si>
  <si>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</si>
  <si>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</si>
  <si>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</si>
  <si>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</si>
  <si>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</si>
  <si>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</si>
  <si>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</si>
  <si>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</si>
  <si>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</si>
  <si>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</si>
  <si>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</si>
  <si>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</si>
  <si>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</si>
  <si>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</si>
  <si>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</si>
  <si>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</si>
  <si>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</si>
  <si>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</si>
  <si>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</si>
  <si>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</si>
  <si>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</si>
  <si>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</si>
  <si>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</si>
  <si>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</si>
  <si>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</si>
  <si>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</si>
  <si>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</si>
  <si>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</si>
  <si>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</si>
  <si>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</si>
  <si>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</si>
  <si>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</si>
  <si>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</si>
  <si>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</si>
  <si>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</si>
  <si>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</si>
  <si>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</si>
  <si>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</si>
  <si>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</si>
  <si>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</si>
  <si>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</si>
  <si>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</si>
  <si>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</si>
  <si>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</si>
  <si>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</si>
  <si>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</si>
  <si>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</si>
  <si>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</si>
  <si>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</si>
  <si>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</si>
  <si>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</si>
  <si>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</si>
  <si>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</si>
  <si>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</si>
  <si>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</si>
  <si>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</si>
  <si>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</si>
  <si>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</si>
  <si>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</si>
  <si>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</si>
  <si>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</si>
  <si>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</si>
  <si>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</si>
  <si>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</si>
  <si>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</si>
  <si>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</si>
  <si>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</si>
  <si>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</si>
  <si>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</si>
  <si>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</si>
  <si>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</si>
  <si>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</si>
  <si>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</si>
  <si>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</si>
  <si>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</si>
  <si>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</si>
  <si>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</si>
  <si>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</si>
  <si>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</si>
  <si>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</si>
  <si>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</si>
  <si>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</si>
  <si>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</si>
  <si>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</si>
  <si>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</si>
  <si>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</si>
  <si>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</si>
  <si>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</si>
  <si>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</si>
  <si>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</si>
  <si>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</si>
  <si>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</si>
  <si>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</si>
  <si>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</si>
  <si>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</si>
  <si>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</si>
  <si>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</si>
  <si>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</si>
  <si>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</si>
  <si>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</si>
  <si>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</si>
  <si>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</si>
  <si>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</si>
  <si>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</si>
  <si>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</si>
  <si>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</si>
  <si>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</si>
  <si>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</si>
  <si>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</si>
  <si>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</si>
  <si>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</si>
  <si>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</si>
  <si>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</si>
  <si>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</si>
  <si>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</si>
  <si>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</si>
  <si>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</si>
  <si>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</si>
  <si>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</si>
  <si>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</si>
  <si>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</si>
  <si>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</si>
  <si>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</si>
  <si>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</si>
  <si>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</si>
  <si>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</si>
  <si>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</si>
  <si>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</si>
  <si>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</si>
  <si>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</si>
  <si>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</si>
  <si>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</si>
  <si>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</si>
  <si>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</si>
  <si>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</si>
  <si>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</si>
  <si>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</si>
  <si>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</si>
  <si>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</si>
  <si>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</si>
  <si>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</si>
  <si>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</si>
  <si>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</si>
  <si>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</si>
  <si>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</si>
  <si>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</si>
  <si>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</si>
  <si>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</si>
  <si>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</si>
  <si>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</si>
  <si>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</si>
  <si>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</si>
  <si>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</si>
  <si>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</si>
  <si>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</si>
  <si>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</si>
  <si>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</si>
  <si>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</si>
  <si>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</si>
  <si>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</si>
  <si>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</si>
  <si>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</si>
  <si>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</si>
  <si>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</si>
  <si>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</si>
  <si>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</si>
  <si>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</si>
  <si>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</si>
  <si>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</si>
  <si>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</si>
  <si>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</si>
  <si>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</si>
  <si>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</si>
  <si>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</si>
  <si>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</si>
  <si>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</si>
  <si>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</si>
  <si>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</si>
  <si>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</si>
  <si>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</si>
  <si>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</si>
  <si>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</si>
  <si>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</si>
  <si>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</si>
  <si>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</si>
  <si>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</si>
  <si>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</si>
  <si>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</si>
  <si>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</si>
  <si>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</si>
  <si>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</si>
  <si>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</si>
  <si>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</si>
  <si>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</si>
  <si>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</si>
  <si>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</si>
  <si>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</si>
  <si>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</si>
  <si>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</si>
  <si>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</si>
  <si>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</si>
  <si>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</si>
  <si>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</si>
  <si>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</si>
  <si>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</si>
  <si>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</si>
  <si>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</si>
  <si>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</si>
  <si>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</si>
  <si>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</si>
  <si>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</si>
  <si>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</si>
  <si>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</si>
  <si>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</si>
  <si>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</si>
  <si>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</si>
  <si>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</si>
  <si>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</si>
  <si>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</si>
  <si>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</si>
  <si>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</si>
  <si>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</si>
  <si>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</si>
  <si>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</si>
  <si>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</si>
  <si>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</si>
  <si>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</si>
  <si>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</si>
  <si>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</si>
  <si>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</si>
  <si>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</si>
  <si>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</si>
  <si>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</si>
  <si>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</si>
  <si>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</si>
  <si>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</si>
  <si>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</si>
  <si>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</si>
  <si>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</si>
  <si>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</si>
  <si>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</si>
  <si>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</si>
  <si>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</si>
  <si>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</si>
  <si>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</si>
  <si>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</si>
  <si>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</si>
  <si>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</si>
  <si>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</si>
  <si>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</si>
  <si>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</si>
  <si>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</si>
  <si>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</si>
  <si>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</si>
  <si>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</si>
  <si>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</si>
  <si>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</si>
  <si>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</si>
  <si>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</si>
  <si>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</si>
  <si>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</si>
  <si>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</si>
  <si>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</si>
  <si>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</si>
  <si>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</si>
  <si>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</si>
  <si>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</si>
  <si>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</si>
  <si>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</si>
  <si>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</si>
  <si>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</si>
  <si>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</si>
  <si>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</si>
  <si>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</si>
  <si>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</si>
  <si>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</si>
  <si>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</si>
  <si>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</si>
  <si>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</si>
  <si>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</si>
  <si>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</si>
  <si>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</si>
  <si>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</si>
  <si>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</si>
  <si>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</si>
  <si>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</si>
  <si>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</si>
  <si>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</si>
  <si>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</si>
  <si>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</si>
  <si>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</si>
  <si>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</si>
  <si>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</si>
  <si>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</si>
  <si>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</si>
  <si>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</si>
  <si>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</si>
  <si>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</si>
  <si>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</si>
  <si>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</si>
  <si>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</si>
  <si>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</si>
  <si>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</si>
  <si>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</si>
  <si>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</si>
  <si>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</si>
  <si>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</si>
  <si>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</si>
  <si>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</si>
  <si>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</si>
  <si>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</si>
  <si>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</si>
  <si>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</si>
  <si>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</si>
  <si>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</si>
  <si>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</si>
  <si>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</si>
  <si>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</si>
  <si>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</si>
  <si>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</si>
  <si>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</si>
  <si>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</si>
  <si>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</si>
  <si>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</si>
  <si>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</si>
  <si>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</si>
  <si>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</si>
  <si>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</si>
  <si>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</si>
  <si>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</si>
  <si>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</si>
  <si>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</si>
  <si>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</si>
  <si>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</si>
  <si>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</si>
  <si>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</si>
  <si>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</si>
  <si>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</si>
  <si>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</si>
  <si>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</si>
  <si>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</si>
  <si>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</si>
  <si>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</si>
  <si>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</si>
  <si>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</si>
  <si>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</si>
  <si>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</si>
  <si>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</si>
  <si>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</si>
  <si>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</si>
  <si>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</si>
  <si>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</si>
  <si>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</si>
  <si>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</si>
  <si>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</si>
  <si>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</si>
  <si>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</si>
  <si>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</si>
  <si>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</si>
  <si>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</si>
  <si>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</si>
  <si>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</si>
  <si>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</si>
  <si>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</si>
  <si>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</si>
  <si>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</si>
  <si>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</si>
  <si>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</si>
  <si>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</si>
  <si>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</si>
  <si>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</si>
  <si>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</si>
  <si>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</si>
  <si>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</si>
  <si>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</si>
  <si>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</si>
  <si>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</si>
  <si>
    <t>formats</t>
  </si>
  <si>
    <t>["PHYS"]</t>
  </si>
  <si>
    <t>["JRN"]</t>
  </si>
  <si>
    <t>["REF"]</t>
  </si>
  <si>
    <t>["TEC"," JRN"]</t>
  </si>
  <si>
    <t>["EBK"]</t>
  </si>
  <si>
    <t>["IMG"]</t>
  </si>
  <si>
    <t>["JRN","IMG"]</t>
  </si>
  <si>
    <t>["STN"]</t>
  </si>
  <si>
    <t>["GOV"]</t>
  </si>
  <si>
    <t>["JRN","TEC"]</t>
  </si>
  <si>
    <t>["REF","EBK"]</t>
  </si>
  <si>
    <t>["DIS"]</t>
  </si>
  <si>
    <t>["TEC"]</t>
  </si>
  <si>
    <t>["BOK"]</t>
  </si>
  <si>
    <t>["NWS"]</t>
  </si>
  <si>
    <t>["PAT"]</t>
  </si>
  <si>
    <t>["JRN","BOK","EBK"]</t>
  </si>
  <si>
    <t>["JRN"," STN"]</t>
  </si>
  <si>
    <t>["JRN"," DIS"," TEC"]</t>
  </si>
  <si>
    <t>["BOK","EBK"]</t>
  </si>
  <si>
    <t>["BOK","REF"]</t>
  </si>
  <si>
    <t>["LAN"]</t>
  </si>
  <si>
    <t>["TEC","GOV"]</t>
  </si>
  <si>
    <t>["MAP"]</t>
  </si>
  <si>
    <t>["DIG"]</t>
  </si>
  <si>
    <t>["JRN","DIS"]</t>
  </si>
  <si>
    <t>["</t>
  </si>
  <si>
    <t>["GEN","ANTH","BME","CAE","COM","ECE","FPE","FST","HIST","HUM","IDN","IDX","LCSH","LIT","PS","PSYC","SOC","SSB"]</t>
  </si>
  <si>
    <t>["IDN","IDX"]</t>
  </si>
  <si>
    <t>["chem"]</t>
  </si>
  <si>
    <t>["MMAE"]</t>
  </si>
  <si>
    <t>["CAE","EMGT","MMAE"]</t>
  </si>
  <si>
    <t>["BIOL","BME"]</t>
  </si>
  <si>
    <t>["PSYC"]</t>
  </si>
  <si>
    <t>["BME","COM","IDN","IDX","SOC"]</t>
  </si>
  <si>
    <t>["ARCH","IDN","IDX","HIST","LIT"]</t>
  </si>
  <si>
    <t>["BIOL","PHYS","CS"]</t>
  </si>
  <si>
    <t>["CAE","EMGT"]</t>
  </si>
  <si>
    <t>["CAE","MMAE"]</t>
  </si>
  <si>
    <t>["ARCH"]</t>
  </si>
  <si>
    <t>["BUS","IDN","IDX","SSB"]</t>
  </si>
  <si>
    <t>["BIOL"]</t>
  </si>
  <si>
    <t>["GEN","CS","BUS","ECE","ITM"]</t>
  </si>
  <si>
    <t>["GEN","BUS","IDN","IDX","SSB"]</t>
  </si>
  <si>
    <t>["GEN"]</t>
  </si>
  <si>
    <t>["ARCH","IDN","IDX"]</t>
  </si>
  <si>
    <t>["ARCH","CAE"]</t>
  </si>
  <si>
    <t>["GEN","HIST","COM","PS","SOC"]</t>
  </si>
  <si>
    <t>["PS","HIST","SOC"]</t>
  </si>
  <si>
    <t>["CS","ITM","ECE"]</t>
  </si>
  <si>
    <t>["HUM","LCHS","SOC"]</t>
  </si>
  <si>
    <t>["COM","HUM","LCHS"]</t>
  </si>
  <si>
    <t>["COM","HUM","LCHS","IDN","IDX"]</t>
  </si>
  <si>
    <t>["CS","ECE","ITM","IDN","IDX"]</t>
  </si>
  <si>
    <t>["GEN","HIST"]</t>
  </si>
  <si>
    <t>["BUS","SSB"]</t>
  </si>
  <si>
    <t>["HIST","LCHS","LIT"]</t>
  </si>
  <si>
    <t>["CAE","ECE","MMAE"]</t>
  </si>
  <si>
    <t>["ENVE"]</t>
  </si>
  <si>
    <t>["PHYS","CS","BIOL","SCI"]</t>
  </si>
  <si>
    <t>["MSED"]</t>
  </si>
  <si>
    <t>["MMAE","PA"]</t>
  </si>
  <si>
    <t>["BME"]</t>
  </si>
  <si>
    <t>["BME","BIOL","SCI"]</t>
  </si>
  <si>
    <t>["GEN","PS.HIST"]</t>
  </si>
  <si>
    <t>["PA"]</t>
  </si>
  <si>
    <t>["ENVE","CAE"]</t>
  </si>
  <si>
    <t>["HIST","PS"]</t>
  </si>
  <si>
    <t>["HIST","BIOL","BME","CS","ITM"]</t>
  </si>
  <si>
    <t>["HIST","LIT"]</t>
  </si>
  <si>
    <t>["ECE","CS","COM","IDN","IDX"]</t>
  </si>
  <si>
    <t>["LAW"]</t>
  </si>
  <si>
    <t>["BIOL","BME","SCI"]</t>
  </si>
  <si>
    <t>["MATH"]</t>
  </si>
  <si>
    <t>["MMAE","AS"]</t>
  </si>
  <si>
    <t>["ECON"]</t>
  </si>
  <si>
    <t>["HIST","HUM","LCHS"]</t>
  </si>
  <si>
    <t>["PHIL"]</t>
  </si>
  <si>
    <t>["HUM","LCHS","LIT"]</t>
  </si>
  <si>
    <t>["BIOL","CS","BME","SCI","MATH"]</t>
  </si>
  <si>
    <t>["HUM","LCHS","PS","SOC"]</t>
  </si>
  <si>
    <t>["HIST","LCHS"]</t>
  </si>
  <si>
    <t>["BUS","SSB","ECON","SCI","IDN","IDX"]</t>
  </si>
  <si>
    <t>["MATH","CS"]</t>
  </si>
  <si>
    <t>["SOC"]</t>
  </si>
  <si>
    <t>["MMAE","CAE"]</t>
  </si>
  <si>
    <t>["HIST","PS","LCHS","SOC"]</t>
  </si>
  <si>
    <t>["BUS","SSB","IDN","IDX"]</t>
  </si>
  <si>
    <t>["CAE"]</t>
  </si>
  <si>
    <t>["HUM","LCHS","SOC","PSYC"]</t>
  </si>
  <si>
    <t>["HIST"]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</si>
</sst>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xf numFmtId="0" fontId="0" fillId="0" borderId="0" xfId="0"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topLeftCell="A88" workbookViewId="0">
      <selection activeCell="C111" sqref="C111"/>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62"/>
  <sheetViews>
    <sheetView tabSelected="1" workbookViewId="0">
      <selection activeCell="H3" sqref="H3"/>
    </sheetView>
  </sheetViews>
  <sheetFormatPr defaultRowHeight="15" x14ac:dyDescent="0.25"/>
  <cols>
    <col min="2" max="2" width="28.7109375" customWidth="1"/>
    <col min="3" max="3" width="31.7109375" hidden="1" customWidth="1"/>
    <col min="4" max="6" width="0" hidden="1" customWidth="1"/>
    <col min="7" max="7" width="50.28515625" style="4" customWidth="1"/>
    <col min="8" max="8" width="13.140625" customWidth="1"/>
    <col min="9" max="9" width="33.85546875" customWidth="1"/>
    <col min="10" max="10" width="13.7109375" customWidth="1"/>
  </cols>
  <sheetData>
    <row r="1" spans="1:10" s="2" customFormat="1" x14ac:dyDescent="0.25">
      <c r="A1" s="1" t="s">
        <v>1130</v>
      </c>
      <c r="B1" s="2" t="s">
        <v>1131</v>
      </c>
      <c r="C1" s="2" t="s">
        <v>1132</v>
      </c>
      <c r="D1" s="2" t="s">
        <v>1133</v>
      </c>
      <c r="E1" s="3" t="s">
        <v>1134</v>
      </c>
      <c r="F1" s="3" t="s">
        <v>1135</v>
      </c>
      <c r="G1" s="4" t="s">
        <v>1136</v>
      </c>
      <c r="H1" s="2" t="s">
        <v>1137</v>
      </c>
      <c r="I1" s="5" t="s">
        <v>1198</v>
      </c>
      <c r="J1" s="2" t="s">
        <v>1199</v>
      </c>
    </row>
    <row r="2" spans="1:10" ht="30"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s="4" t="str">
        <f>SUBSTITUTE(SUBSTITUTE(orig_e_resources_table!O2,CHAR(13),""),CHAR(10),"")</f>
        <v>Access journals published by the American Association of Physics Teachers in the field of physics.</v>
      </c>
      <c r="I2" s="5" t="s">
        <v>1200</v>
      </c>
      <c r="J2" s="5" t="s">
        <v>1201</v>
      </c>
    </row>
    <row r="3" spans="1:10" ht="120"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s="4"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I3" s="5" t="s">
        <v>1227</v>
      </c>
      <c r="J3" s="5" t="s">
        <v>1201</v>
      </c>
    </row>
    <row r="4" spans="1:10" ht="90"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s="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I4" s="5" t="s">
        <v>1228</v>
      </c>
      <c r="J4" s="5" t="s">
        <v>1201</v>
      </c>
    </row>
    <row r="5" spans="1:10" ht="60"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s="4" t="str">
        <f>SUBSTITUTE(SUBSTITUTE(orig_e_resources_table!O5,CHAR(13),""),CHAR(10),"")</f>
        <v>With more than 600,000 human-edited definitions, Acronym Finder is the world's largest and most comprehensive dictionary of acronyms, abbreviations, and initialisms.</v>
      </c>
      <c r="I5" s="5"/>
      <c r="J5" s="5" t="s">
        <v>1202</v>
      </c>
    </row>
    <row r="6" spans="1:10" ht="45"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s="4" t="str">
        <f>SUBSTITUTE(SUBSTITUTE(orig_e_resources_table!O6,CHAR(13),""),CHAR(10),"")</f>
        <v xml:space="preserve">Online repository of peer-reviewed research journals published by the American Chemical Society, covering all aspects of chemistry and chemical sciences. </v>
      </c>
      <c r="I6" s="5" t="s">
        <v>1229</v>
      </c>
      <c r="J6" s="5" t="s">
        <v>1201</v>
      </c>
    </row>
    <row r="7" spans="1:10" ht="60"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s="4" t="str">
        <f>SUBSTITUTE(SUBSTITUTE(orig_e_resources_table!O7,CHAR(13),""),CHAR(10),"")</f>
        <v>Reports and documents from the U.S. Nuclear Regulatory Commission (NRC). ADAMS documents are provided in either Adobe Portable Document Format (PDF) or Tagged Image File Format (TIFF).</v>
      </c>
      <c r="I7" s="5" t="s">
        <v>1230</v>
      </c>
      <c r="J7" s="5" t="s">
        <v>1203</v>
      </c>
    </row>
    <row r="8" spans="1:10" ht="210"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s="4"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8" s="5"/>
      <c r="J8" s="5" t="s">
        <v>1201</v>
      </c>
    </row>
    <row r="9" spans="1:10" ht="195"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s="4"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I9" s="5"/>
      <c r="J9" s="5" t="s">
        <v>1201</v>
      </c>
    </row>
    <row r="10" spans="1:10" ht="165"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s="4"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c r="I10" s="5" t="s">
        <v>1231</v>
      </c>
      <c r="J10" s="5" t="s">
        <v>1201</v>
      </c>
    </row>
    <row r="11" spans="1:10" ht="165"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s="4"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c r="I11" s="5" t="s">
        <v>1232</v>
      </c>
      <c r="J11" s="5" t="s">
        <v>1201</v>
      </c>
    </row>
    <row r="12" spans="1:10" ht="135"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s="4"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c r="I12" s="5"/>
      <c r="J12" s="5" t="s">
        <v>1201</v>
      </c>
    </row>
    <row r="13" spans="1:10" ht="75"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s="4"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c r="I13" s="5" t="s">
        <v>1200</v>
      </c>
      <c r="J13" s="5" t="s">
        <v>1201</v>
      </c>
    </row>
    <row r="14" spans="1:10" ht="45"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s="4" t="str">
        <f>SUBSTITUTE(SUBSTITUTE(orig_e_resources_table!O14,CHAR(13),""),CHAR(10),"")</f>
        <v>Journals published by the American Physical Society, including Physical Review and Physical Review Letters.</v>
      </c>
      <c r="I14" s="5" t="s">
        <v>1233</v>
      </c>
      <c r="J14" s="5" t="s">
        <v>1201</v>
      </c>
    </row>
    <row r="15" spans="1:10" ht="165"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s="4"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c r="I15" s="5"/>
      <c r="J15" s="5" t="s">
        <v>1201</v>
      </c>
    </row>
    <row r="16" spans="1:10" ht="210"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s="4"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c r="I16" s="5"/>
      <c r="J16" s="5" t="s">
        <v>1201</v>
      </c>
    </row>
    <row r="17" spans="1:10" ht="120" x14ac:dyDescent="0.25">
      <c r="A17">
        <v>233</v>
      </c>
      <c r="B17" t="str">
        <f>orig_e_resources_table!B234</f>
        <v>ArchiveGrid</v>
      </c>
      <c r="C17" t="str">
        <f>IF(orig_e_resources_table!C234="","",orig_e_resources_table!C234)</f>
        <v>NULL</v>
      </c>
      <c r="D17" t="str">
        <f>orig_e_resources_table!D234</f>
        <v>http://archivegrid.com</v>
      </c>
      <c r="E17" t="str">
        <f>LOWER(IF(orig_e_resources_table!F234=1,TRUE,FALSE))</f>
        <v>true</v>
      </c>
      <c r="F17" t="str">
        <f>LOWER(IF(orig_e_resources_table!I234=1,TRUE,FALSE))</f>
        <v>true</v>
      </c>
      <c r="G17" s="4"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I17" s="5"/>
      <c r="J17" s="5" t="s">
        <v>1201</v>
      </c>
    </row>
    <row r="18" spans="1:10" ht="45" x14ac:dyDescent="0.25">
      <c r="A18">
        <v>16</v>
      </c>
      <c r="B18" t="str">
        <f>orig_e_resources_table!B17</f>
        <v>Article First</v>
      </c>
      <c r="C18" t="str">
        <f>IF(orig_e_resources_table!C17="","",orig_e_resources_table!C17)</f>
        <v/>
      </c>
      <c r="D18" t="str">
        <f>orig_e_resources_table!D17</f>
        <v>http://newfirstsearch.oclc.org/dbname=ArticleFirst;FSIP</v>
      </c>
      <c r="E18" t="str">
        <f>LOWER(IF(orig_e_resources_table!F17=1,TRUE,FALSE))</f>
        <v>true</v>
      </c>
      <c r="F18" t="str">
        <f>LOWER(IF(orig_e_resources_table!I17=1,TRUE,FALSE))</f>
        <v>true</v>
      </c>
      <c r="G18" s="4" t="str">
        <f>SUBSTITUTE(SUBSTITUTE(orig_e_resources_table!O17,CHAR(13),""),CHAR(10),"")</f>
        <v>Coverage of over 16,000 journal titles related to business, science, humanities, social sciences, medicine, technology, and popular culture.</v>
      </c>
      <c r="I18" s="5" t="s">
        <v>1234</v>
      </c>
      <c r="J18" s="5" t="s">
        <v>1201</v>
      </c>
    </row>
    <row r="19" spans="1:10" ht="240" x14ac:dyDescent="0.25">
      <c r="A19">
        <v>231</v>
      </c>
      <c r="B19" t="str">
        <f>orig_e_resources_table!B232</f>
        <v>ARTstor</v>
      </c>
      <c r="C19" t="str">
        <f>IF(orig_e_resources_table!C232="","",orig_e_resources_table!C232)</f>
        <v>NULL</v>
      </c>
      <c r="D19" t="str">
        <f>orig_e_resources_table!D232</f>
        <v>http://library.artstor.org/</v>
      </c>
      <c r="E19" t="str">
        <f>LOWER(IF(orig_e_resources_table!F232=1,TRUE,FALSE))</f>
        <v>true</v>
      </c>
      <c r="F19" t="str">
        <f>LOWER(IF(orig_e_resources_table!I232=1,TRUE,FALSE))</f>
        <v>true</v>
      </c>
      <c r="G19" s="4"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I19" s="5" t="s">
        <v>1235</v>
      </c>
      <c r="J19" s="5" t="s">
        <v>1201</v>
      </c>
    </row>
    <row r="20" spans="1:10" ht="105" x14ac:dyDescent="0.25">
      <c r="A20">
        <v>17</v>
      </c>
      <c r="B20" t="str">
        <f>orig_e_resources_table!B18</f>
        <v>arXiv.org</v>
      </c>
      <c r="C20" t="str">
        <f>IF(orig_e_resources_table!C18="","",orig_e_resources_table!C18)</f>
        <v/>
      </c>
      <c r="D20" t="str">
        <f>orig_e_resources_table!D18</f>
        <v>http://arxiv.org/</v>
      </c>
      <c r="E20" t="str">
        <f>LOWER(IF(orig_e_resources_table!F18=1,TRUE,FALSE))</f>
        <v>true</v>
      </c>
      <c r="F20" t="str">
        <f>LOWER(IF(orig_e_resources_table!I18=1,TRUE,FALSE))</f>
        <v>false</v>
      </c>
      <c r="G20" s="4"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I20" s="5" t="s">
        <v>1236</v>
      </c>
      <c r="J20" s="5" t="s">
        <v>1201</v>
      </c>
    </row>
    <row r="21" spans="1:10" ht="30" x14ac:dyDescent="0.25">
      <c r="A21">
        <v>18</v>
      </c>
      <c r="B21" t="str">
        <f>orig_e_resources_table!B19</f>
        <v>ASCE Database</v>
      </c>
      <c r="C21" t="str">
        <f>IF(orig_e_resources_table!C19="","",orig_e_resources_table!C19)</f>
        <v>American Society of Civil Engineers</v>
      </c>
      <c r="D21" t="str">
        <f>orig_e_resources_table!D19</f>
        <v>http://ascelibrary.org</v>
      </c>
      <c r="E21" t="str">
        <f>LOWER(IF(orig_e_resources_table!F19=1,TRUE,FALSE))</f>
        <v>true</v>
      </c>
      <c r="F21" t="str">
        <f>LOWER(IF(orig_e_resources_table!I19=1,TRUE,FALSE))</f>
        <v>true</v>
      </c>
      <c r="G21" s="4" t="str">
        <f>SUBSTITUTE(SUBSTITUTE(orig_e_resources_table!O19,CHAR(13),""),CHAR(10),"")</f>
        <v>Search for journal articles published by the ASCE from 1990 through the present.</v>
      </c>
      <c r="I21" s="5" t="s">
        <v>1237</v>
      </c>
      <c r="J21" s="5" t="s">
        <v>1201</v>
      </c>
    </row>
    <row r="22" spans="1:10" ht="285" x14ac:dyDescent="0.25">
      <c r="A22">
        <v>19</v>
      </c>
      <c r="B22" t="str">
        <f>orig_e_resources_table!B20</f>
        <v>ASFA 1: Biological Sciences and Living Resources</v>
      </c>
      <c r="C22" t="str">
        <f>IF(orig_e_resources_table!C20="","",orig_e_resources_table!C20)</f>
        <v/>
      </c>
      <c r="D22" t="str">
        <f>orig_e_resources_table!D20</f>
        <v>http://www.csa.com/htbin/dbrng.cgi?username=paulg&amp;access=paulg20&amp;db=asfa1-set-c</v>
      </c>
      <c r="E22" t="str">
        <f>LOWER(IF(orig_e_resources_table!F20=1,TRUE,FALSE))</f>
        <v>false</v>
      </c>
      <c r="F22" t="str">
        <f>LOWER(IF(orig_e_resources_table!I20=1,TRUE,FALSE))</f>
        <v>true</v>
      </c>
      <c r="G22" s="4"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c r="I22" s="5"/>
      <c r="J22" s="5" t="s">
        <v>1201</v>
      </c>
    </row>
    <row r="23" spans="1:10" ht="150" x14ac:dyDescent="0.25">
      <c r="A23">
        <v>20</v>
      </c>
      <c r="B23" t="str">
        <f>orig_e_resources_table!B21</f>
        <v>ASFA 3: Aquatic Pollution and Environmental Quality</v>
      </c>
      <c r="C23" t="str">
        <f>IF(orig_e_resources_table!C21="","",orig_e_resources_table!C21)</f>
        <v/>
      </c>
      <c r="D23" t="str">
        <f>orig_e_resources_table!D21</f>
        <v>http://www.csa.com/htbin/dbrng.cgi?username=paulg&amp;access=paulg20&amp;db=asfa3-set-c</v>
      </c>
      <c r="E23" t="str">
        <f>LOWER(IF(orig_e_resources_table!F21=1,TRUE,FALSE))</f>
        <v>false</v>
      </c>
      <c r="F23" t="str">
        <f>LOWER(IF(orig_e_resources_table!I21=1,TRUE,FALSE))</f>
        <v>true</v>
      </c>
      <c r="G23" s="4"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c r="I23" s="5"/>
      <c r="J23" s="5" t="s">
        <v>1201</v>
      </c>
    </row>
    <row r="24" spans="1:10" ht="255" x14ac:dyDescent="0.25">
      <c r="A24">
        <v>21</v>
      </c>
      <c r="B24" t="str">
        <f>orig_e_resources_table!B22</f>
        <v>ASFA Aquaculture Abstracts</v>
      </c>
      <c r="C24" t="str">
        <f>IF(orig_e_resources_table!C22="","",orig_e_resources_table!C22)</f>
        <v/>
      </c>
      <c r="D24" t="str">
        <f>orig_e_resources_table!D22</f>
        <v>http://www.csa.com/htbin/dbrng.cgi?username=paulg&amp;access=paulg20&amp;db=aquaculture-set-c</v>
      </c>
      <c r="E24" t="str">
        <f>LOWER(IF(orig_e_resources_table!F22=1,TRUE,FALSE))</f>
        <v>false</v>
      </c>
      <c r="F24" t="str">
        <f>LOWER(IF(orig_e_resources_table!I22=1,TRUE,FALSE))</f>
        <v>true</v>
      </c>
      <c r="G24" s="4"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c r="I24" s="5"/>
      <c r="J24" s="5" t="s">
        <v>1201</v>
      </c>
    </row>
    <row r="25" spans="1:10" ht="135" x14ac:dyDescent="0.25">
      <c r="A25">
        <v>22</v>
      </c>
      <c r="B25" t="str">
        <f>orig_e_resources_table!B23</f>
        <v>ASFA Marine Biotechnology Abstracts</v>
      </c>
      <c r="C25" t="str">
        <f>IF(orig_e_resources_table!C23="","",orig_e_resources_table!C23)</f>
        <v/>
      </c>
      <c r="D25" t="str">
        <f>orig_e_resources_table!D23</f>
        <v>http://www.csa.com/htbin/dbrng.cgi?username=paulg&amp;access=paulg20&amp;db=marine-set-c</v>
      </c>
      <c r="E25" t="str">
        <f>LOWER(IF(orig_e_resources_table!F23=1,TRUE,FALSE))</f>
        <v>false</v>
      </c>
      <c r="F25" t="str">
        <f>LOWER(IF(orig_e_resources_table!I23=1,TRUE,FALSE))</f>
        <v>true</v>
      </c>
      <c r="G25" s="4"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I25" s="5"/>
      <c r="J25" s="5" t="s">
        <v>1201</v>
      </c>
    </row>
    <row r="26" spans="1:10" ht="60" x14ac:dyDescent="0.25">
      <c r="A26">
        <v>24</v>
      </c>
      <c r="B26" t="str">
        <f>orig_e_resources_table!B25</f>
        <v>ASM Materials Information - Alloy Center</v>
      </c>
      <c r="C26" t="str">
        <f>IF(orig_e_resources_table!C25="","",orig_e_resources_table!C25)</f>
        <v/>
      </c>
      <c r="D26" t="str">
        <f>orig_e_resources_table!D25</f>
        <v>http://products.asminternational.org/alloycenter/index.jsp</v>
      </c>
      <c r="E26" t="str">
        <f>LOWER(IF(orig_e_resources_table!F25=1,TRUE,FALSE))</f>
        <v>false</v>
      </c>
      <c r="F26" t="str">
        <f>LOWER(IF(orig_e_resources_table!I25=1,TRUE,FALSE))</f>
        <v>true</v>
      </c>
      <c r="G26" s="4" t="str">
        <f>SUBSTITUTE(SUBSTITUTE(orig_e_resources_table!O25,CHAR(13),""),CHAR(10),"")</f>
        <v>The ASM Alloy Center enables you to search in one easy step across ASM property data, performance charts, diagrams, and processing guidelines for specific metals and alloys.</v>
      </c>
      <c r="I26" s="5"/>
      <c r="J26" s="5" t="s">
        <v>1201</v>
      </c>
    </row>
    <row r="27" spans="1:10" ht="75" x14ac:dyDescent="0.25">
      <c r="A27">
        <v>23</v>
      </c>
      <c r="B27" t="str">
        <f>orig_e_resources_table!B24</f>
        <v>ASM Materials Information - Handbooks</v>
      </c>
      <c r="C27" t="str">
        <f>IF(orig_e_resources_table!C24="","",orig_e_resources_table!C24)</f>
        <v/>
      </c>
      <c r="D27" t="str">
        <f>orig_e_resources_table!D24</f>
        <v>http://products.asminternational.org/hbk/index.jsp</v>
      </c>
      <c r="E27" t="str">
        <f>LOWER(IF(orig_e_resources_table!F24=1,TRUE,FALSE))</f>
        <v>false</v>
      </c>
      <c r="F27" t="str">
        <f>LOWER(IF(orig_e_resources_table!I24=1,TRUE,FALSE))</f>
        <v>true</v>
      </c>
      <c r="G27" s="4"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c r="I27" s="5"/>
      <c r="J27" s="5" t="s">
        <v>1201</v>
      </c>
    </row>
    <row r="28" spans="1:10" ht="30" x14ac:dyDescent="0.25">
      <c r="A28">
        <v>25</v>
      </c>
      <c r="B28" t="str">
        <f>orig_e_resources_table!B26</f>
        <v>ASME</v>
      </c>
      <c r="C28" t="str">
        <f>IF(orig_e_resources_table!C26="","",orig_e_resources_table!C26)</f>
        <v>American Society of Mechanical Engineers</v>
      </c>
      <c r="D28" t="str">
        <f>orig_e_resources_table!D26</f>
        <v>http://asmedigitalcollection.asme.org/</v>
      </c>
      <c r="E28" t="str">
        <f>LOWER(IF(orig_e_resources_table!F26=1,TRUE,FALSE))</f>
        <v>true</v>
      </c>
      <c r="F28" t="str">
        <f>LOWER(IF(orig_e_resources_table!I26=1,TRUE,FALSE))</f>
        <v>true</v>
      </c>
      <c r="G28" s="4" t="str">
        <f>SUBSTITUTE(SUBSTITUTE(orig_e_resources_table!O26,CHAR(13),""),CHAR(10),"")</f>
        <v>Journals published by the American Society of Mechanical Engineers.</v>
      </c>
      <c r="I28" s="5" t="s">
        <v>1238</v>
      </c>
      <c r="J28" s="5" t="s">
        <v>1201</v>
      </c>
    </row>
    <row r="29" spans="1:10" ht="210" x14ac:dyDescent="0.25">
      <c r="A29">
        <v>26</v>
      </c>
      <c r="B29" t="str">
        <f>orig_e_resources_table!B27</f>
        <v>Avery Index to Architectural Periodicals</v>
      </c>
      <c r="C29" t="str">
        <f>IF(orig_e_resources_table!C27="","",orig_e_resources_table!C27)</f>
        <v/>
      </c>
      <c r="D29" t="str">
        <f>orig_e_resources_table!D27</f>
        <v>http://search.proquest.com.ezproxy.gl.iit.edu/avery/advanced</v>
      </c>
      <c r="E29" t="str">
        <f>LOWER(IF(orig_e_resources_table!F27=1,TRUE,FALSE))</f>
        <v>true</v>
      </c>
      <c r="F29" t="str">
        <f>LOWER(IF(orig_e_resources_table!I27=1,TRUE,FALSE))</f>
        <v>true</v>
      </c>
      <c r="G29" s="4"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I29" s="5" t="s">
        <v>1239</v>
      </c>
      <c r="J29" s="5" t="s">
        <v>1201</v>
      </c>
    </row>
    <row r="30" spans="1:10" ht="135" x14ac:dyDescent="0.25">
      <c r="A30">
        <v>27</v>
      </c>
      <c r="B30" t="str">
        <f>orig_e_resources_table!B28</f>
        <v>Bacteriology Abstracts (Microbiology B)</v>
      </c>
      <c r="C30" t="str">
        <f>IF(orig_e_resources_table!C28="","",orig_e_resources_table!C28)</f>
        <v/>
      </c>
      <c r="D30" t="str">
        <f>orig_e_resources_table!D28</f>
        <v>http://www.csa.com/htbin/dbrng.cgi?username=paulg&amp;access=paulg20&amp;db=bacteriology-set-c</v>
      </c>
      <c r="E30" t="str">
        <f>LOWER(IF(orig_e_resources_table!F28=1,TRUE,FALSE))</f>
        <v>false</v>
      </c>
      <c r="F30" t="str">
        <f>LOWER(IF(orig_e_resources_table!I28=1,TRUE,FALSE))</f>
        <v>true</v>
      </c>
      <c r="G30" s="4"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I30" s="5"/>
      <c r="J30" s="5" t="s">
        <v>1201</v>
      </c>
    </row>
    <row r="31" spans="1:10" ht="45" x14ac:dyDescent="0.25">
      <c r="A31">
        <v>259</v>
      </c>
      <c r="B31" t="str">
        <f>orig_e_resources_table!B260</f>
        <v>Barron's</v>
      </c>
      <c r="C31" t="str">
        <f>IF(orig_e_resources_table!C260="","",orig_e_resources_table!C260)</f>
        <v>NULL</v>
      </c>
      <c r="D31" t="str">
        <f>orig_e_resources_table!D260</f>
        <v>http://online.barrons.com/</v>
      </c>
      <c r="E31" t="str">
        <f>LOWER(IF(orig_e_resources_table!F260=1,TRUE,FALSE))</f>
        <v>true</v>
      </c>
      <c r="F31" t="str">
        <f>LOWER(IF(orig_e_resources_table!I260=1,TRUE,FALSE))</f>
        <v>false</v>
      </c>
      <c r="G31" s="4" t="str">
        <f>SUBSTITUTE(SUBSTITUTE(orig_e_resources_table!O260,CHAR(13),""),CHAR(10),"")</f>
        <v xml:space="preserve">Barron's publishes business and financial market news. It is published weekly and includes a summary of the previous week's market-affecting items. </v>
      </c>
      <c r="I31" s="5" t="s">
        <v>1240</v>
      </c>
      <c r="J31" s="5" t="s">
        <v>1201</v>
      </c>
    </row>
    <row r="32" spans="1:10" ht="165" x14ac:dyDescent="0.25">
      <c r="A32">
        <v>29</v>
      </c>
      <c r="B32" t="str">
        <f>orig_e_resources_table!B30</f>
        <v>Biological Abstracts</v>
      </c>
      <c r="C32" t="str">
        <f>IF(orig_e_resources_table!C30="","",orig_e_resources_table!C30)</f>
        <v/>
      </c>
      <c r="D32" t="str">
        <f>orig_e_resources_table!D30</f>
        <v>http://apps.webofknowledge.com/BIOABS_GeneralSearch_input.do?product=BIOABS&amp;search_mode=GeneralSearch</v>
      </c>
      <c r="E32" t="str">
        <f>LOWER(IF(orig_e_resources_table!F30=1,TRUE,FALSE))</f>
        <v>true</v>
      </c>
      <c r="F32" t="str">
        <f>LOWER(IF(orig_e_resources_table!I30=1,TRUE,FALSE))</f>
        <v>true</v>
      </c>
      <c r="G32" s="4"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c r="I32" s="5" t="s">
        <v>1241</v>
      </c>
      <c r="J32" s="5" t="s">
        <v>1201</v>
      </c>
    </row>
    <row r="33" spans="1:10" ht="135" x14ac:dyDescent="0.25">
      <c r="A33">
        <v>30</v>
      </c>
      <c r="B33" t="str">
        <f>orig_e_resources_table!B31</f>
        <v>Biological Sciences</v>
      </c>
      <c r="C33" t="str">
        <f>IF(orig_e_resources_table!C31="","",orig_e_resources_table!C31)</f>
        <v/>
      </c>
      <c r="D33" t="str">
        <f>orig_e_resources_table!D31</f>
        <v>http://www.csa.com/htbin/dbrng.cgi?username=paulg&amp;access=paulg20&amp;db=biolclust-set-c</v>
      </c>
      <c r="E33" t="str">
        <f>LOWER(IF(orig_e_resources_table!F31=1,TRUE,FALSE))</f>
        <v>true</v>
      </c>
      <c r="F33" t="str">
        <f>LOWER(IF(orig_e_resources_table!I31=1,TRUE,FALSE))</f>
        <v>true</v>
      </c>
      <c r="G33" s="4"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c r="I33" s="5" t="s">
        <v>1241</v>
      </c>
      <c r="J33" s="5" t="s">
        <v>1201</v>
      </c>
    </row>
    <row r="34" spans="1:10" ht="165" x14ac:dyDescent="0.25">
      <c r="A34">
        <v>31</v>
      </c>
      <c r="B34" t="str">
        <f>orig_e_resources_table!B32</f>
        <v>Biology Digest</v>
      </c>
      <c r="C34" t="str">
        <f>IF(orig_e_resources_table!C32="","",orig_e_resources_table!C32)</f>
        <v/>
      </c>
      <c r="D34" t="str">
        <f>orig_e_resources_table!D32</f>
        <v>http://www.csa.com/htbin/dbrng.cgi?username=paulg&amp;access=paulg20&amp;db=biodig-set-c</v>
      </c>
      <c r="E34" t="str">
        <f>LOWER(IF(orig_e_resources_table!F32=1,TRUE,FALSE))</f>
        <v>false</v>
      </c>
      <c r="F34" t="str">
        <f>LOWER(IF(orig_e_resources_table!I32=1,TRUE,FALSE))</f>
        <v>true</v>
      </c>
      <c r="G34" s="4"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c r="I34" s="5"/>
      <c r="J34" s="5" t="s">
        <v>1201</v>
      </c>
    </row>
    <row r="35" spans="1:10" ht="195" x14ac:dyDescent="0.25">
      <c r="A35">
        <v>32</v>
      </c>
      <c r="B35" t="str">
        <f>orig_e_resources_table!B33</f>
        <v>Biotechnology Research Abstracts</v>
      </c>
      <c r="C35" t="str">
        <f>IF(orig_e_resources_table!C33="","",orig_e_resources_table!C33)</f>
        <v/>
      </c>
      <c r="D35" t="str">
        <f>orig_e_resources_table!D33</f>
        <v>http://www.csa.com/htbin/dbrng.cgi?username=paulg&amp;access=paulg20&amp;db=biotechnology-archival-set-c</v>
      </c>
      <c r="E35" t="str">
        <f>LOWER(IF(orig_e_resources_table!F33=1,TRUE,FALSE))</f>
        <v>false</v>
      </c>
      <c r="F35" t="str">
        <f>LOWER(IF(orig_e_resources_table!I33=1,TRUE,FALSE))</f>
        <v>true</v>
      </c>
      <c r="G35" s="4"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c r="I35" s="5"/>
      <c r="J35" s="5" t="s">
        <v>1201</v>
      </c>
    </row>
    <row r="36" spans="1:10" ht="75" x14ac:dyDescent="0.25">
      <c r="A36">
        <v>68</v>
      </c>
      <c r="B36" t="str">
        <f>orig_e_resources_table!B69</f>
        <v>Bizminer</v>
      </c>
      <c r="C36" t="str">
        <f>IF(orig_e_resources_table!C69="","",orig_e_resources_table!C69)</f>
        <v>NULL</v>
      </c>
      <c r="D36" t="str">
        <f>orig_e_resources_table!D69</f>
        <v>http://www.bizminer.com/</v>
      </c>
      <c r="E36" t="str">
        <f>LOWER(IF(orig_e_resources_table!F69=1,TRUE,FALSE))</f>
        <v>true</v>
      </c>
      <c r="F36" t="str">
        <f>LOWER(IF(orig_e_resources_table!I69=1,TRUE,FALSE))</f>
        <v>true</v>
      </c>
      <c r="G36" s="4"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c r="I36" s="5" t="s">
        <v>1240</v>
      </c>
      <c r="J36" s="5" t="s">
        <v>1201</v>
      </c>
    </row>
    <row r="37" spans="1:10" x14ac:dyDescent="0.25">
      <c r="A37">
        <v>33</v>
      </c>
      <c r="B37" t="str">
        <f>orig_e_resources_table!B34</f>
        <v>Blackwell Synergy</v>
      </c>
      <c r="C37" t="str">
        <f>IF(orig_e_resources_table!C34="","",orig_e_resources_table!C34)</f>
        <v/>
      </c>
      <c r="D37" t="str">
        <f>orig_e_resources_table!D34</f>
        <v>http://www.blackwell-synergy.com</v>
      </c>
      <c r="E37" t="str">
        <f>LOWER(IF(orig_e_resources_table!F34=1,TRUE,FALSE))</f>
        <v>false</v>
      </c>
      <c r="F37" t="str">
        <f>LOWER(IF(orig_e_resources_table!I34=1,TRUE,FALSE))</f>
        <v>true</v>
      </c>
      <c r="G37" s="4" t="str">
        <f>SUBSTITUTE(SUBSTITUTE(orig_e_resources_table!O34,CHAR(13),""),CHAR(10),"")</f>
        <v>Journals published by Blackwell Synergy.</v>
      </c>
      <c r="I37" s="5"/>
      <c r="J37" s="5" t="s">
        <v>1201</v>
      </c>
    </row>
    <row r="38" spans="1:10" ht="165" x14ac:dyDescent="0.25">
      <c r="A38">
        <v>34</v>
      </c>
      <c r="B38" t="str">
        <f>orig_e_resources_table!B35</f>
        <v>Books 24x7</v>
      </c>
      <c r="C38" t="str">
        <f>IF(orig_e_resources_table!C35="","",orig_e_resources_table!C35)</f>
        <v/>
      </c>
      <c r="D38" t="str">
        <f>orig_e_resources_table!D35</f>
        <v>http://library.books24x7.com/library.asp?^B</v>
      </c>
      <c r="E38" t="str">
        <f>LOWER(IF(orig_e_resources_table!F35=1,TRUE,FALSE))</f>
        <v>true</v>
      </c>
      <c r="F38" t="str">
        <f>LOWER(IF(orig_e_resources_table!I35=1,TRUE,FALSE))</f>
        <v>true</v>
      </c>
      <c r="G38" s="4"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I38" s="5" t="s">
        <v>1242</v>
      </c>
      <c r="J38" s="5" t="s">
        <v>1204</v>
      </c>
    </row>
    <row r="39" spans="1:10" ht="135" x14ac:dyDescent="0.25">
      <c r="A39">
        <v>217</v>
      </c>
      <c r="B39" t="str">
        <f>orig_e_resources_table!B218</f>
        <v>Business and Company Resource Center</v>
      </c>
      <c r="C39" t="str">
        <f>IF(orig_e_resources_table!C218="","",orig_e_resources_table!C218)</f>
        <v>NULL</v>
      </c>
      <c r="D39" t="str">
        <f>orig_e_resources_table!D218</f>
        <v>http://infotrac.galegroup.com/itweb/chic40381?db=BCRC</v>
      </c>
      <c r="E39" t="str">
        <f>LOWER(IF(orig_e_resources_table!F218=1,TRUE,FALSE))</f>
        <v>false</v>
      </c>
      <c r="F39" t="str">
        <f>LOWER(IF(orig_e_resources_table!I218=1,TRUE,FALSE))</f>
        <v>true</v>
      </c>
      <c r="G39" s="4"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I39" s="5"/>
      <c r="J39" s="5" t="s">
        <v>1201</v>
      </c>
    </row>
    <row r="40" spans="1:10" ht="90" x14ac:dyDescent="0.25">
      <c r="A40">
        <v>35</v>
      </c>
      <c r="B40" t="str">
        <f>orig_e_resources_table!B36</f>
        <v>Business Insights</v>
      </c>
      <c r="C40" t="str">
        <f>IF(orig_e_resources_table!C36="","",orig_e_resources_table!C36)</f>
        <v/>
      </c>
      <c r="D40" t="str">
        <f>orig_e_resources_table!D36</f>
        <v>http://www.globalbusinessinsights.com/autologin.asp</v>
      </c>
      <c r="E40" t="str">
        <f>LOWER(IF(orig_e_resources_table!F36=1,TRUE,FALSE))</f>
        <v>false</v>
      </c>
      <c r="F40" t="str">
        <f>LOWER(IF(orig_e_resources_table!I36=1,TRUE,FALSE))</f>
        <v>true</v>
      </c>
      <c r="G40" s="4"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I40" s="5"/>
      <c r="J40" s="5" t="s">
        <v>1201</v>
      </c>
    </row>
    <row r="41" spans="1:10" ht="240" x14ac:dyDescent="0.25">
      <c r="A41">
        <v>36</v>
      </c>
      <c r="B41" t="str">
        <f>orig_e_resources_table!B37</f>
        <v>Business Source Premier</v>
      </c>
      <c r="C41" t="str">
        <f>IF(orig_e_resources_table!C37="","",orig_e_resources_table!C37)</f>
        <v/>
      </c>
      <c r="D41" t="str">
        <f>orig_e_resources_table!D37</f>
        <v>http://search.EBSCOhost.com/login.asp?profile=web&amp;defaultdb=buh</v>
      </c>
      <c r="E41" t="str">
        <f>LOWER(IF(orig_e_resources_table!F37=1,TRUE,FALSE))</f>
        <v>true</v>
      </c>
      <c r="F41" t="str">
        <f>LOWER(IF(orig_e_resources_table!I37=1,TRUE,FALSE))</f>
        <v>true</v>
      </c>
      <c r="G41" s="4"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I41" s="5" t="s">
        <v>1243</v>
      </c>
      <c r="J41" s="5" t="s">
        <v>1201</v>
      </c>
    </row>
    <row r="42" spans="1:10" ht="165" x14ac:dyDescent="0.25">
      <c r="A42">
        <v>37</v>
      </c>
      <c r="B42" t="str">
        <f>orig_e_resources_table!B38</f>
        <v>Calcium and Calcified Tissue Abstracts</v>
      </c>
      <c r="C42" t="str">
        <f>IF(orig_e_resources_table!C38="","",orig_e_resources_table!C38)</f>
        <v/>
      </c>
      <c r="D42" t="str">
        <f>orig_e_resources_table!D38</f>
        <v>http://www.csa.com/htbin/dbrng.cgi?username=paulg&amp;access=paulg20&amp;db=calcified-tissue-set-c</v>
      </c>
      <c r="E42" t="str">
        <f>LOWER(IF(orig_e_resources_table!F38=1,TRUE,FALSE))</f>
        <v>false</v>
      </c>
      <c r="F42" t="str">
        <f>LOWER(IF(orig_e_resources_table!I38=1,TRUE,FALSE))</f>
        <v>true</v>
      </c>
      <c r="G42" s="4"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c r="I42" s="5"/>
      <c r="J42" s="5" t="s">
        <v>1201</v>
      </c>
    </row>
    <row r="43" spans="1:10" x14ac:dyDescent="0.25">
      <c r="A43">
        <v>38</v>
      </c>
      <c r="B43" t="str">
        <f>orig_e_resources_table!B39</f>
        <v>Cambridge Journals Online</v>
      </c>
      <c r="C43" t="str">
        <f>IF(orig_e_resources_table!C39="","",orig_e_resources_table!C39)</f>
        <v/>
      </c>
      <c r="D43" t="str">
        <f>orig_e_resources_table!D39</f>
        <v>http://journals.cambridge.org/action/advanceSearch</v>
      </c>
      <c r="E43" t="str">
        <f>LOWER(IF(orig_e_resources_table!F39=1,TRUE,FALSE))</f>
        <v>true</v>
      </c>
      <c r="F43" t="str">
        <f>LOWER(IF(orig_e_resources_table!I39=1,TRUE,FALSE))</f>
        <v>true</v>
      </c>
      <c r="G43" s="4" t="str">
        <f>SUBSTITUTE(SUBSTITUTE(orig_e_resources_table!O39,CHAR(13),""),CHAR(10),"")</f>
        <v>Journals published by Cambridge University Press.</v>
      </c>
      <c r="I43" s="5" t="s">
        <v>1244</v>
      </c>
      <c r="J43" s="5" t="s">
        <v>1201</v>
      </c>
    </row>
    <row r="44" spans="1:10" ht="135" x14ac:dyDescent="0.25">
      <c r="A44">
        <v>222</v>
      </c>
      <c r="B44" t="str">
        <f>orig_e_resources_table!B223</f>
        <v>CAMIO</v>
      </c>
      <c r="C44" t="str">
        <f>IF(orig_e_resources_table!C223="","",orig_e_resources_table!C223)</f>
        <v>Catalog of Art Museum Images Online</v>
      </c>
      <c r="D44" t="str">
        <f>orig_e_resources_table!D223</f>
        <v>http://camio.oclc.org/</v>
      </c>
      <c r="E44" t="str">
        <f>LOWER(IF(orig_e_resources_table!F223=1,TRUE,FALSE))</f>
        <v>true</v>
      </c>
      <c r="F44" t="str">
        <f>LOWER(IF(orig_e_resources_table!I223=1,TRUE,FALSE))</f>
        <v>true</v>
      </c>
      <c r="G44" s="4"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I44" s="5" t="s">
        <v>1235</v>
      </c>
      <c r="J44" s="5" t="s">
        <v>1205</v>
      </c>
    </row>
    <row r="45" spans="1:10" ht="60" x14ac:dyDescent="0.25">
      <c r="A45">
        <v>39</v>
      </c>
      <c r="B45" t="str">
        <f>orig_e_resources_table!B40</f>
        <v>CARLI Digital Collections</v>
      </c>
      <c r="C45" t="str">
        <f>IF(orig_e_resources_table!C40="","",orig_e_resources_table!C40)</f>
        <v/>
      </c>
      <c r="D45" t="str">
        <f>orig_e_resources_table!D40</f>
        <v>http://collections.carli.illinois.edu/</v>
      </c>
      <c r="E45" t="str">
        <f>LOWER(IF(orig_e_resources_table!F40=1,TRUE,FALSE))</f>
        <v>true</v>
      </c>
      <c r="F45" t="str">
        <f>LOWER(IF(orig_e_resources_table!I40=1,TRUE,FALSE))</f>
        <v>false</v>
      </c>
      <c r="G45" s="4" t="str">
        <f>SUBSTITUTE(SUBSTITUTE(orig_e_resources_table!O40,CHAR(13),""),CHAR(10),"")</f>
        <v>Digital collections created by member libraries of the Consortium of Academic and Research libraries of Illinois (CARLI). Subjects mostly include art, photography, and Illinois history.</v>
      </c>
      <c r="I45" s="5" t="s">
        <v>1245</v>
      </c>
      <c r="J45" s="5" t="s">
        <v>1201</v>
      </c>
    </row>
    <row r="46" spans="1:10" ht="165" x14ac:dyDescent="0.25">
      <c r="A46">
        <v>40</v>
      </c>
      <c r="B46" t="str">
        <f>orig_e_resources_table!B41</f>
        <v>Ceramic Abstracts/World Ceramics Abstracts</v>
      </c>
      <c r="C46" t="str">
        <f>IF(orig_e_resources_table!C41="","",orig_e_resources_table!C41)</f>
        <v/>
      </c>
      <c r="D46" t="str">
        <f>orig_e_resources_table!D41</f>
        <v>http://www.csa.com/htbin/dbrng.cgi?username=paulg&amp;access=paulg20&amp;db=wca-set-c</v>
      </c>
      <c r="E46" t="str">
        <f>LOWER(IF(orig_e_resources_table!F41=1,TRUE,FALSE))</f>
        <v>false</v>
      </c>
      <c r="F46" t="str">
        <f>LOWER(IF(orig_e_resources_table!I41=1,TRUE,FALSE))</f>
        <v>true</v>
      </c>
      <c r="G46" s="4"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c r="I46" s="5"/>
      <c r="J46" s="5" t="s">
        <v>1201</v>
      </c>
    </row>
    <row r="47" spans="1:10" ht="75" x14ac:dyDescent="0.25">
      <c r="A47">
        <v>41</v>
      </c>
      <c r="B47" t="str">
        <f>orig_e_resources_table!B42</f>
        <v>CERN Document Server</v>
      </c>
      <c r="C47" t="str">
        <f>IF(orig_e_resources_table!C42="","",orig_e_resources_table!C42)</f>
        <v/>
      </c>
      <c r="D47" t="str">
        <f>orig_e_resources_table!D42</f>
        <v>http://cdsweb.cern.ch/</v>
      </c>
      <c r="E47" t="str">
        <f>LOWER(IF(orig_e_resources_table!F42=1,TRUE,FALSE))</f>
        <v>true</v>
      </c>
      <c r="F47" t="str">
        <f>LOWER(IF(orig_e_resources_table!I42=1,TRUE,FALSE))</f>
        <v>false</v>
      </c>
      <c r="G47" s="4" t="str">
        <f>SUBSTITUTE(SUBSTITUTE(orig_e_resources_table!O42,CHAR(13),""),CHAR(10),"")</f>
        <v>Over 800,000 bibliographic records, including 360,000 full-text documents,of interest to people working in particle physics and related areas. Covers preprints, articles, books, journals, photographs, and much more.</v>
      </c>
      <c r="I47" s="5" t="s">
        <v>1200</v>
      </c>
      <c r="J47" s="5" t="s">
        <v>1206</v>
      </c>
    </row>
    <row r="48" spans="1:10" ht="105" x14ac:dyDescent="0.25">
      <c r="A48">
        <v>42</v>
      </c>
      <c r="B48" t="str">
        <f>orig_e_resources_table!B43</f>
        <v>Chemoreception Abstracts</v>
      </c>
      <c r="C48" t="str">
        <f>IF(orig_e_resources_table!C43="","",orig_e_resources_table!C43)</f>
        <v/>
      </c>
      <c r="D48" t="str">
        <f>orig_e_resources_table!D43</f>
        <v>http://www.csa.com/htbin/dbrng.cgi?username=paulg&amp;access=paulg20&amp;db=chemoreception-set-c</v>
      </c>
      <c r="E48" t="str">
        <f>LOWER(IF(orig_e_resources_table!F43=1,TRUE,FALSE))</f>
        <v>false</v>
      </c>
      <c r="F48" t="str">
        <f>LOWER(IF(orig_e_resources_table!I43=1,TRUE,FALSE))</f>
        <v>true</v>
      </c>
      <c r="G48" s="4"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I48" s="5"/>
      <c r="J48" s="5" t="s">
        <v>1201</v>
      </c>
    </row>
    <row r="49" spans="1:10" ht="45" x14ac:dyDescent="0.25">
      <c r="A49">
        <v>236</v>
      </c>
      <c r="B49" t="str">
        <f>orig_e_resources_table!B237</f>
        <v>Chicago Building Code</v>
      </c>
      <c r="C49" t="str">
        <f>IF(orig_e_resources_table!C237="","",orig_e_resources_table!C237)</f>
        <v>NULL</v>
      </c>
      <c r="D49" t="str">
        <f>orig_e_resources_table!D237</f>
        <v>http://www.amlegal.com/library/il/chicago.shtml</v>
      </c>
      <c r="E49" t="str">
        <f>LOWER(IF(orig_e_resources_table!F237=1,TRUE,FALSE))</f>
        <v>true</v>
      </c>
      <c r="F49" t="str">
        <f>LOWER(IF(orig_e_resources_table!I237=1,TRUE,FALSE))</f>
        <v>false</v>
      </c>
      <c r="G49" s="4" t="str">
        <f>SUBSTITUTE(SUBSTITUTE(orig_e_resources_table!O237,CHAR(13),""),CHAR(10),"")</f>
        <v>This portal offers access to Chicago's Municipal Code, Chicago Zoning Ordinance and Land Use Ordinance, and Building Code.</v>
      </c>
      <c r="I49" s="5" t="s">
        <v>1246</v>
      </c>
      <c r="J49" s="5" t="s">
        <v>1207</v>
      </c>
    </row>
    <row r="50" spans="1:10" ht="45" x14ac:dyDescent="0.25">
      <c r="A50">
        <v>43</v>
      </c>
      <c r="B50" t="str">
        <f>orig_e_resources_table!B44</f>
        <v>CIA World Factbook</v>
      </c>
      <c r="C50" t="str">
        <f>IF(orig_e_resources_table!C44="","",orig_e_resources_table!C44)</f>
        <v/>
      </c>
      <c r="D50" t="str">
        <f>orig_e_resources_table!D44</f>
        <v>https://www.cia.gov/library/publications/the-world-factbook/index.html</v>
      </c>
      <c r="E50" t="str">
        <f>LOWER(IF(orig_e_resources_table!F44=1,TRUE,FALSE))</f>
        <v>true</v>
      </c>
      <c r="F50" t="str">
        <f>LOWER(IF(orig_e_resources_table!I44=1,TRUE,FALSE))</f>
        <v>false</v>
      </c>
      <c r="G50" s="4" t="str">
        <f>SUBSTITUTE(SUBSTITUTE(orig_e_resources_table!O44,CHAR(13),""),CHAR(10),"")</f>
        <v>Online reference source containing basic country information, including maps, history, economics, and social studies.</v>
      </c>
      <c r="I50" s="5" t="s">
        <v>1247</v>
      </c>
      <c r="J50" s="5" t="s">
        <v>1202</v>
      </c>
    </row>
    <row r="51" spans="1:10" ht="210" x14ac:dyDescent="0.25">
      <c r="A51">
        <v>46</v>
      </c>
      <c r="B51" t="str">
        <f>orig_e_resources_table!B47</f>
        <v>CIAO</v>
      </c>
      <c r="C51" t="str">
        <f>IF(orig_e_resources_table!C47="","",orig_e_resources_table!C47)</f>
        <v>Columbia International Affairs Online</v>
      </c>
      <c r="D51" t="str">
        <f>orig_e_resources_table!D47</f>
        <v>http://www.ciaonet.org/</v>
      </c>
      <c r="E51" t="str">
        <f>LOWER(IF(orig_e_resources_table!F47=1,TRUE,FALSE))</f>
        <v>true</v>
      </c>
      <c r="F51" t="str">
        <f>LOWER(IF(orig_e_resources_table!I47=1,TRUE,FALSE))</f>
        <v>true</v>
      </c>
      <c r="G51" s="4"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I51" s="5" t="s">
        <v>1248</v>
      </c>
      <c r="J51" s="5" t="s">
        <v>1201</v>
      </c>
    </row>
    <row r="52" spans="1:10" ht="90" x14ac:dyDescent="0.25">
      <c r="A52">
        <v>44</v>
      </c>
      <c r="B52" t="str">
        <f>orig_e_resources_table!B45</f>
        <v>CiteSeer</v>
      </c>
      <c r="C52" t="str">
        <f>IF(orig_e_resources_table!C45="","",orig_e_resources_table!C45)</f>
        <v/>
      </c>
      <c r="D52" t="str">
        <f>orig_e_resources_table!D45</f>
        <v>http://citeseer.ist.psu.edu</v>
      </c>
      <c r="E52" t="str">
        <f>LOWER(IF(orig_e_resources_table!F45=1,TRUE,FALSE))</f>
        <v>true</v>
      </c>
      <c r="F52" t="str">
        <f>LOWER(IF(orig_e_resources_table!I45=1,TRUE,FALSE))</f>
        <v>false</v>
      </c>
      <c r="G52" s="4"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I52" s="5" t="s">
        <v>1249</v>
      </c>
      <c r="J52" s="5" t="s">
        <v>1201</v>
      </c>
    </row>
    <row r="53" spans="1:10" ht="30" x14ac:dyDescent="0.25">
      <c r="A53">
        <v>45</v>
      </c>
      <c r="B53" t="str">
        <f>orig_e_resources_table!B46</f>
        <v>ClasePeriodica</v>
      </c>
      <c r="C53" t="str">
        <f>IF(orig_e_resources_table!C46="","",orig_e_resources_table!C46)</f>
        <v/>
      </c>
      <c r="D53" t="str">
        <f>orig_e_resources_table!D46</f>
        <v>http://firstsearch.oclc.org/fsip?dbname=ClasePeriodica</v>
      </c>
      <c r="E53" t="str">
        <f>LOWER(IF(orig_e_resources_table!F46=1,TRUE,FALSE))</f>
        <v>true</v>
      </c>
      <c r="F53" t="str">
        <f>LOWER(IF(orig_e_resources_table!I46=1,TRUE,FALSE))</f>
        <v>true</v>
      </c>
      <c r="G53" s="4" t="str">
        <f>SUBSTITUTE(SUBSTITUTE(orig_e_resources_table!O46,CHAR(13),""),CHAR(10),"")</f>
        <v>Index of Latin American journals in the sciences and humanities.</v>
      </c>
      <c r="I53" s="5" t="s">
        <v>1250</v>
      </c>
      <c r="J53" s="5" t="s">
        <v>1201</v>
      </c>
    </row>
    <row r="54" spans="1:10" ht="315" x14ac:dyDescent="0.25">
      <c r="A54">
        <v>47</v>
      </c>
      <c r="B54" t="str">
        <f>orig_e_resources_table!B48</f>
        <v>Communication and Mass Media Complete</v>
      </c>
      <c r="C54" t="str">
        <f>IF(orig_e_resources_table!C48="","",orig_e_resources_table!C48)</f>
        <v/>
      </c>
      <c r="D54" t="str">
        <f>orig_e_resources_table!D48</f>
        <v>http://search.EBSCOhost.com/login.asp?profile=web&amp;defaultdb=ufh</v>
      </c>
      <c r="E54" t="str">
        <f>LOWER(IF(orig_e_resources_table!F48=1,TRUE,FALSE))</f>
        <v>true</v>
      </c>
      <c r="F54" t="str">
        <f>LOWER(IF(orig_e_resources_table!I48=1,TRUE,FALSE))</f>
        <v>true</v>
      </c>
      <c r="G54" s="4"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I54" s="5" t="s">
        <v>1251</v>
      </c>
      <c r="J54" s="5" t="s">
        <v>1201</v>
      </c>
    </row>
    <row r="55" spans="1:10" ht="105" x14ac:dyDescent="0.25">
      <c r="A55">
        <v>48</v>
      </c>
      <c r="B55" t="str">
        <f>orig_e_resources_table!B49</f>
        <v>Compendex</v>
      </c>
      <c r="C55" t="str">
        <f>IF(orig_e_resources_table!C49="","",orig_e_resources_table!C49)</f>
        <v/>
      </c>
      <c r="D55" t="str">
        <f>orig_e_resources_table!D49</f>
        <v>http://library.iit.edu/databases/compendex.php</v>
      </c>
      <c r="E55" t="str">
        <f>LOWER(IF(orig_e_resources_table!F49=1,TRUE,FALSE))</f>
        <v>false</v>
      </c>
      <c r="F55" t="str">
        <f>LOWER(IF(orig_e_resources_table!I49=1,TRUE,FALSE))</f>
        <v>true</v>
      </c>
      <c r="G55" s="4"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I55" s="5"/>
      <c r="J55" s="5" t="s">
        <v>1201</v>
      </c>
    </row>
    <row r="56" spans="1:10" ht="180" x14ac:dyDescent="0.25">
      <c r="A56">
        <v>49</v>
      </c>
      <c r="B56" t="str">
        <f>orig_e_resources_table!B50</f>
        <v>Composites Industry Abstracts</v>
      </c>
      <c r="C56" t="str">
        <f>IF(orig_e_resources_table!C50="","",orig_e_resources_table!C50)</f>
        <v/>
      </c>
      <c r="D56" t="str">
        <f>orig_e_resources_table!D50</f>
        <v>http://www.csa.com/htbin/dbrng.cgi?username=paulg&amp;access=paulg20&amp;db=ema-composites-set-c</v>
      </c>
      <c r="E56" t="str">
        <f>LOWER(IF(orig_e_resources_table!F50=1,TRUE,FALSE))</f>
        <v>false</v>
      </c>
      <c r="F56" t="str">
        <f>LOWER(IF(orig_e_resources_table!I50=1,TRUE,FALSE))</f>
        <v>true</v>
      </c>
      <c r="G56" s="4"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56" s="5"/>
      <c r="J56" s="5" t="s">
        <v>1201</v>
      </c>
    </row>
    <row r="57" spans="1:10" ht="135" x14ac:dyDescent="0.25">
      <c r="A57">
        <v>50</v>
      </c>
      <c r="B57" t="str">
        <f>orig_e_resources_table!B51</f>
        <v>Computer and Information Systems Abstracts</v>
      </c>
      <c r="C57" t="str">
        <f>IF(orig_e_resources_table!C51="","",orig_e_resources_table!C51)</f>
        <v/>
      </c>
      <c r="D57" t="str">
        <f>orig_e_resources_table!D51</f>
        <v>http://www.csa.com/htbin/dbrng.cgi?username=paulg&amp;access=paulg20&amp;db=computer-set-c</v>
      </c>
      <c r="E57" t="str">
        <f>LOWER(IF(orig_e_resources_table!F51=1,TRUE,FALSE))</f>
        <v>false</v>
      </c>
      <c r="F57" t="str">
        <f>LOWER(IF(orig_e_resources_table!I51=1,TRUE,FALSE))</f>
        <v>true</v>
      </c>
      <c r="G57" s="4"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I57" s="5"/>
      <c r="J57" s="5" t="s">
        <v>1201</v>
      </c>
    </row>
    <row r="58" spans="1:10" ht="195" x14ac:dyDescent="0.25">
      <c r="A58">
        <v>52</v>
      </c>
      <c r="B58" t="str">
        <f>orig_e_resources_table!B53</f>
        <v>Conference Papers Index</v>
      </c>
      <c r="C58" t="str">
        <f>IF(orig_e_resources_table!C53="","",orig_e_resources_table!C53)</f>
        <v/>
      </c>
      <c r="D58" t="str">
        <f>orig_e_resources_table!D53</f>
        <v>http://www.csa.com/htbin/dbrng.cgi?username=paulg&amp;access=paulg20&amp;db=cpi-set-c</v>
      </c>
      <c r="E58" t="str">
        <f>LOWER(IF(orig_e_resources_table!F53=1,TRUE,FALSE))</f>
        <v>true</v>
      </c>
      <c r="F58" t="str">
        <f>LOWER(IF(orig_e_resources_table!I53=1,TRUE,FALSE))</f>
        <v>true</v>
      </c>
      <c r="G58" s="4"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I58" s="5" t="s">
        <v>1252</v>
      </c>
      <c r="J58" s="5" t="s">
        <v>1201</v>
      </c>
    </row>
    <row r="59" spans="1:10" ht="180" x14ac:dyDescent="0.25">
      <c r="A59">
        <v>53</v>
      </c>
      <c r="B59" t="str">
        <f>orig_e_resources_table!B54</f>
        <v>Contrails</v>
      </c>
      <c r="C59" t="str">
        <f>IF(orig_e_resources_table!C54="","",orig_e_resources_table!C54)</f>
        <v/>
      </c>
      <c r="D59" t="str">
        <f>orig_e_resources_table!D54</f>
        <v>http://contrails.iit.edu/</v>
      </c>
      <c r="E59" t="str">
        <f>LOWER(IF(orig_e_resources_table!F54=1,TRUE,FALSE))</f>
        <v>true</v>
      </c>
      <c r="F59" t="str">
        <f>LOWER(IF(orig_e_resources_table!I54=1,TRUE,FALSE))</f>
        <v>false</v>
      </c>
      <c r="G59" s="4"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I59" s="5" t="s">
        <v>1230</v>
      </c>
      <c r="J59" s="5" t="s">
        <v>1208</v>
      </c>
    </row>
    <row r="60" spans="1:10" ht="270" x14ac:dyDescent="0.25">
      <c r="A60">
        <v>54</v>
      </c>
      <c r="B60" t="str">
        <f>orig_e_resources_table!B55</f>
        <v>Copper Data Center Database</v>
      </c>
      <c r="C60" t="str">
        <f>IF(orig_e_resources_table!C55="","",orig_e_resources_table!C55)</f>
        <v/>
      </c>
      <c r="D60" t="str">
        <f>orig_e_resources_table!D55</f>
        <v>http://www.csa.com/htbin/dbrng.cgi?username=paulg&amp;access=paulg20&amp;db=copper-set-c</v>
      </c>
      <c r="E60" t="str">
        <f>LOWER(IF(orig_e_resources_table!F55=1,TRUE,FALSE))</f>
        <v>false</v>
      </c>
      <c r="F60" t="str">
        <f>LOWER(IF(orig_e_resources_table!I55=1,TRUE,FALSE))</f>
        <v>true</v>
      </c>
      <c r="G60" s="4"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c r="I60" s="5"/>
      <c r="J60" s="5" t="s">
        <v>1201</v>
      </c>
    </row>
    <row r="61" spans="1:10" ht="105" x14ac:dyDescent="0.25">
      <c r="A61">
        <v>51</v>
      </c>
      <c r="B61" t="str">
        <f>orig_e_resources_table!B52</f>
        <v>CoRR</v>
      </c>
      <c r="C61" t="str">
        <f>IF(orig_e_resources_table!C52="","",orig_e_resources_table!C52)</f>
        <v>Computing Research Repsoitory</v>
      </c>
      <c r="D61" t="str">
        <f>orig_e_resources_table!D52</f>
        <v>http://arxiv.org/corr/home</v>
      </c>
      <c r="E61" t="str">
        <f>LOWER(IF(orig_e_resources_table!F52=1,TRUE,FALSE))</f>
        <v>true</v>
      </c>
      <c r="F61" t="str">
        <f>LOWER(IF(orig_e_resources_table!I52=1,TRUE,FALSE))</f>
        <v>false</v>
      </c>
      <c r="G61" s="4"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c r="I61" s="5" t="s">
        <v>1253</v>
      </c>
      <c r="J61" s="5" t="s">
        <v>1209</v>
      </c>
    </row>
    <row r="62" spans="1:10" ht="180" x14ac:dyDescent="0.25">
      <c r="A62">
        <v>55</v>
      </c>
      <c r="B62" t="str">
        <f>orig_e_resources_table!B56</f>
        <v>Corrosion Abstracts</v>
      </c>
      <c r="C62" t="str">
        <f>IF(orig_e_resources_table!C56="","",orig_e_resources_table!C56)</f>
        <v/>
      </c>
      <c r="D62" t="str">
        <f>orig_e_resources_table!D56</f>
        <v>http://www.csa.com/htbin/dbrng.cgi?username=paulg&amp;access=paulg20&amp;db=corrosion-set-c</v>
      </c>
      <c r="E62" t="str">
        <f>LOWER(IF(orig_e_resources_table!F56=1,TRUE,FALSE))</f>
        <v>false</v>
      </c>
      <c r="F62" t="str">
        <f>LOWER(IF(orig_e_resources_table!I56=1,TRUE,FALSE))</f>
        <v>true</v>
      </c>
      <c r="G62" s="4"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c r="I62" s="5"/>
      <c r="J62" s="5" t="s">
        <v>1201</v>
      </c>
    </row>
    <row r="63" spans="1:10" ht="60" x14ac:dyDescent="0.25">
      <c r="A63">
        <v>221</v>
      </c>
      <c r="B63" t="str">
        <f>orig_e_resources_table!B222</f>
        <v>COS Funding Opportunities</v>
      </c>
      <c r="C63" t="str">
        <f>IF(orig_e_resources_table!C222="","",orig_e_resources_table!C222)</f>
        <v>NULL</v>
      </c>
      <c r="D63" t="str">
        <f>orig_e_resources_table!D222</f>
        <v>http://search.proquest.com/fundingops</v>
      </c>
      <c r="E63" t="str">
        <f>LOWER(IF(orig_e_resources_table!F222=1,TRUE,FALSE))</f>
        <v>false</v>
      </c>
      <c r="F63" t="str">
        <f>LOWER(IF(orig_e_resources_table!I222=1,TRUE,FALSE))</f>
        <v>true</v>
      </c>
      <c r="G63" s="4" t="str">
        <f>SUBSTITUTE(SUBSTITUTE(orig_e_resources_table!O222,CHAR(13),""),CHAR(10),"")</f>
        <v>A database of funding opportunities for grants, fellowships, prizes, etc.  Discover who's doing what -- current research activity, funding received, publications, patents, new positions and more.</v>
      </c>
      <c r="I63" s="5"/>
      <c r="J63" s="5" t="s">
        <v>1210</v>
      </c>
    </row>
    <row r="64" spans="1:10" ht="180" x14ac:dyDescent="0.25">
      <c r="A64">
        <v>56</v>
      </c>
      <c r="B64" t="str">
        <f>orig_e_resources_table!B57</f>
        <v>Country Studies</v>
      </c>
      <c r="C64" t="str">
        <f>IF(orig_e_resources_table!C57="","",orig_e_resources_table!C57)</f>
        <v/>
      </c>
      <c r="D64" t="str">
        <f>orig_e_resources_table!D57</f>
        <v>http://memory.loc.gov/frd/cs/cshome.html</v>
      </c>
      <c r="E64" t="str">
        <f>LOWER(IF(orig_e_resources_table!F57=1,TRUE,FALSE))</f>
        <v>true</v>
      </c>
      <c r="F64" t="str">
        <f>LOWER(IF(orig_e_resources_table!I57=1,TRUE,FALSE))</f>
        <v>false</v>
      </c>
      <c r="G64" s="4"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I64" s="5" t="s">
        <v>1254</v>
      </c>
      <c r="J64" s="5" t="s">
        <v>1201</v>
      </c>
    </row>
    <row r="65" spans="1:10" ht="60" x14ac:dyDescent="0.25">
      <c r="A65">
        <v>57</v>
      </c>
      <c r="B65" t="str">
        <f>orig_e_resources_table!B58</f>
        <v>CSA</v>
      </c>
      <c r="C65" t="str">
        <f>IF(orig_e_resources_table!C58="","",orig_e_resources_table!C58)</f>
        <v>Cambridge Scientific Abstracts</v>
      </c>
      <c r="D65" t="str">
        <f>orig_e_resources_table!D58</f>
        <v>http://www.csa.com/htbin/dbrng.cgi?username=paulg&amp;access=paulg20&amp;cat=default&amp;adv=1</v>
      </c>
      <c r="E65" t="str">
        <f>LOWER(IF(orig_e_resources_table!F58=1,TRUE,FALSE))</f>
        <v>false</v>
      </c>
      <c r="F65" t="str">
        <f>LOWER(IF(orig_e_resources_table!I58=1,TRUE,FALSE))</f>
        <v>true</v>
      </c>
      <c r="G65" s="4" t="str">
        <f>SUBSTITUTE(SUBSTITUTE(orig_e_resources_table!O58,CHAR(13),""),CHAR(10),"")</f>
        <v>Home page for the CSA Illumina search platform. Users can choose from over 50 research indexes to search. CSA databases cover engineering, physical and life sciences, social science, and technology.</v>
      </c>
      <c r="I65" s="5"/>
      <c r="J65" s="5" t="s">
        <v>1201</v>
      </c>
    </row>
    <row r="66" spans="1:10" ht="195" x14ac:dyDescent="0.25">
      <c r="A66">
        <v>58</v>
      </c>
      <c r="B66" t="str">
        <f>orig_e_resources_table!B59</f>
        <v>CSA / ASCE Civil Engineering Abstracts</v>
      </c>
      <c r="C66" t="str">
        <f>IF(orig_e_resources_table!C59="","",orig_e_resources_table!C59)</f>
        <v/>
      </c>
      <c r="D66" t="str">
        <f>orig_e_resources_table!D59</f>
        <v>http://www.csa.com/htbin/dbrng.cgi?username=paulg&amp;access=paulg20&amp;db=civil-set-c</v>
      </c>
      <c r="E66" t="str">
        <f>LOWER(IF(orig_e_resources_table!F59=1,TRUE,FALSE))</f>
        <v>false</v>
      </c>
      <c r="F66" t="str">
        <f>LOWER(IF(orig_e_resources_table!I59=1,TRUE,FALSE))</f>
        <v>true</v>
      </c>
      <c r="G66" s="4"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c r="I66" s="5"/>
      <c r="J66" s="5" t="s">
        <v>1201</v>
      </c>
    </row>
    <row r="67" spans="1:10" ht="255" x14ac:dyDescent="0.25">
      <c r="A67">
        <v>59</v>
      </c>
      <c r="B67" t="str">
        <f>orig_e_resources_table!B60</f>
        <v>CSA Engineering Research Database</v>
      </c>
      <c r="C67" t="str">
        <f>IF(orig_e_resources_table!C60="","",orig_e_resources_table!C60)</f>
        <v/>
      </c>
      <c r="D67" t="str">
        <f>orig_e_resources_table!D60</f>
        <v>http://www.csa.com/htbin/dbrng.cgi?username=paulg&amp;access=paulg20&amp;db=engineering-set-c</v>
      </c>
      <c r="E67" t="str">
        <f>LOWER(IF(orig_e_resources_table!F60=1,TRUE,FALSE))</f>
        <v>false</v>
      </c>
      <c r="F67" t="str">
        <f>LOWER(IF(orig_e_resources_table!I60=1,TRUE,FALSE))</f>
        <v>true</v>
      </c>
      <c r="G67" s="4"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c r="I67" s="5"/>
      <c r="J67" s="5" t="s">
        <v>1201</v>
      </c>
    </row>
    <row r="68" spans="1:10" ht="180" x14ac:dyDescent="0.25">
      <c r="A68">
        <v>60</v>
      </c>
      <c r="B68" t="str">
        <f>orig_e_resources_table!B61</f>
        <v>CSA High Technology Research Database with Aerospace</v>
      </c>
      <c r="C68" t="str">
        <f>IF(orig_e_resources_table!C61="","",orig_e_resources_table!C61)</f>
        <v/>
      </c>
      <c r="D68" t="str">
        <f>orig_e_resources_table!D61</f>
        <v>http://www.csa.com/htbin/dbrng.cgi?username=paulg&amp;access=paulg20&amp;db=hightech-set-c</v>
      </c>
      <c r="E68" t="str">
        <f>LOWER(IF(orig_e_resources_table!F61=1,TRUE,FALSE))</f>
        <v>false</v>
      </c>
      <c r="F68" t="str">
        <f>LOWER(IF(orig_e_resources_table!I61=1,TRUE,FALSE))</f>
        <v>true</v>
      </c>
      <c r="G68" s="4"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c r="I68" s="5"/>
      <c r="J68" s="5" t="s">
        <v>1201</v>
      </c>
    </row>
    <row r="69" spans="1:10" ht="195" x14ac:dyDescent="0.25">
      <c r="A69">
        <v>61</v>
      </c>
      <c r="B69" t="str">
        <f>orig_e_resources_table!B62</f>
        <v>CSA Materials Research Database with METADEX</v>
      </c>
      <c r="C69" t="str">
        <f>IF(orig_e_resources_table!C62="","",orig_e_resources_table!C62)</f>
        <v/>
      </c>
      <c r="D69" t="str">
        <f>orig_e_resources_table!D62</f>
        <v>http://www.csa.com/htbin/dbrng.cgi?username=paulg&amp;access=paulg20&amp;db=materials-set-c</v>
      </c>
      <c r="E69" t="str">
        <f>LOWER(IF(orig_e_resources_table!F62=1,TRUE,FALSE))</f>
        <v>false</v>
      </c>
      <c r="F69" t="str">
        <f>LOWER(IF(orig_e_resources_table!I62=1,TRUE,FALSE))</f>
        <v>true</v>
      </c>
      <c r="G69" s="4"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c r="I69" s="5"/>
      <c r="J69" s="5" t="s">
        <v>1201</v>
      </c>
    </row>
    <row r="70" spans="1:10" ht="30" x14ac:dyDescent="0.25">
      <c r="A70">
        <v>62</v>
      </c>
      <c r="B70" t="str">
        <f>orig_e_resources_table!B63</f>
        <v>CSA Neurosciences Abstracts</v>
      </c>
      <c r="C70" t="str">
        <f>IF(orig_e_resources_table!C63="","",orig_e_resources_table!C63)</f>
        <v/>
      </c>
      <c r="D70" t="str">
        <f>orig_e_resources_table!D63</f>
        <v>http://www.csa.com/htbin/dbrng.cgi?username=paulg&amp;access=paulg20&amp;db=neurosciences-set-c</v>
      </c>
      <c r="E70" t="str">
        <f>LOWER(IF(orig_e_resources_table!F63=1,TRUE,FALSE))</f>
        <v>false</v>
      </c>
      <c r="F70" t="str">
        <f>LOWER(IF(orig_e_resources_table!I63=1,TRUE,FALSE))</f>
        <v>true</v>
      </c>
      <c r="G70" s="4" t="str">
        <f>SUBSTITUTE(SUBSTITUTE(orig_e_resources_table!O63,CHAR(13),""),CHAR(10),"")</f>
        <v>This database covers all aspects of vertebrate and invertebrate neuroscience.</v>
      </c>
      <c r="I70" s="5"/>
      <c r="J70" s="5" t="s">
        <v>1201</v>
      </c>
    </row>
    <row r="71" spans="1:10" ht="180" x14ac:dyDescent="0.25">
      <c r="A71">
        <v>63</v>
      </c>
      <c r="B71" t="str">
        <f>orig_e_resources_table!B64</f>
        <v>CSA Technology Research Database</v>
      </c>
      <c r="C71" t="str">
        <f>IF(orig_e_resources_table!C64="","",orig_e_resources_table!C64)</f>
        <v/>
      </c>
      <c r="D71" t="str">
        <f>orig_e_resources_table!D64</f>
        <v>http://www.csa.com/htbin/dbrng.cgi?username=paulg&amp;amp;access=paulg20&amp;amp;db=techresearch-set-c</v>
      </c>
      <c r="E71" t="str">
        <f>LOWER(IF(orig_e_resources_table!F64=1,TRUE,FALSE))</f>
        <v>true</v>
      </c>
      <c r="F71" t="str">
        <f>LOWER(IF(orig_e_resources_table!I64=1,TRUE,FALSE))</f>
        <v>true</v>
      </c>
      <c r="G71" s="4"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c r="I71" s="5" t="s">
        <v>1238</v>
      </c>
      <c r="J71" s="5" t="s">
        <v>1201</v>
      </c>
    </row>
    <row r="72" spans="1:10" ht="105" x14ac:dyDescent="0.25">
      <c r="A72">
        <v>64</v>
      </c>
      <c r="B72" t="str">
        <f>orig_e_resources_table!B65</f>
        <v>CumInCAD</v>
      </c>
      <c r="C72" t="str">
        <f>IF(orig_e_resources_table!C65="","",orig_e_resources_table!C65)</f>
        <v/>
      </c>
      <c r="D72" t="str">
        <f>orig_e_resources_table!D65</f>
        <v>http://cumincad.scix.net</v>
      </c>
      <c r="E72" t="str">
        <f>LOWER(IF(orig_e_resources_table!F65=1,TRUE,FALSE))</f>
        <v>true</v>
      </c>
      <c r="F72" t="str">
        <f>LOWER(IF(orig_e_resources_table!I65=1,TRUE,FALSE))</f>
        <v>true</v>
      </c>
      <c r="G72" s="4"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I72" s="5" t="s">
        <v>1239</v>
      </c>
      <c r="J72" s="5" t="s">
        <v>1201</v>
      </c>
    </row>
    <row r="73" spans="1:10" ht="180" x14ac:dyDescent="0.25">
      <c r="A73">
        <v>65</v>
      </c>
      <c r="B73" t="str">
        <f>orig_e_resources_table!B66</f>
        <v>DARTS</v>
      </c>
      <c r="C73" t="str">
        <f>IF(orig_e_resources_table!C66="","",orig_e_resources_table!C66)</f>
        <v>Depository Access to Reports, Technical and Scientific</v>
      </c>
      <c r="D73" t="str">
        <f>orig_e_resources_table!D66</f>
        <v>http://www.gl.iit.edu/govdocs/internet/darts.htm</v>
      </c>
      <c r="E73" t="str">
        <f>LOWER(IF(orig_e_resources_table!F66=1,TRUE,FALSE))</f>
        <v>true</v>
      </c>
      <c r="F73" t="str">
        <f>LOWER(IF(orig_e_resources_table!I66=1,TRUE,FALSE))</f>
        <v>true</v>
      </c>
      <c r="G73" s="4"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I73" s="5" t="s">
        <v>1238</v>
      </c>
      <c r="J73" s="5" t="s">
        <v>1201</v>
      </c>
    </row>
    <row r="74" spans="1:10" ht="135" x14ac:dyDescent="0.25">
      <c r="A74">
        <v>224</v>
      </c>
      <c r="B74" t="str">
        <f>orig_e_resources_table!B225</f>
        <v>David Rumsey Historical Map Collection</v>
      </c>
      <c r="C74" t="str">
        <f>IF(orig_e_resources_table!C225="","",orig_e_resources_table!C225)</f>
        <v>NULL</v>
      </c>
      <c r="D74" t="str">
        <f>orig_e_resources_table!D225</f>
        <v>http://www.davidrumsey.com/</v>
      </c>
      <c r="E74" t="str">
        <f>LOWER(IF(orig_e_resources_table!F225=1,TRUE,FALSE))</f>
        <v>true</v>
      </c>
      <c r="F74" t="str">
        <f>LOWER(IF(orig_e_resources_table!I225=1,TRUE,FALSE))</f>
        <v>false</v>
      </c>
      <c r="G74" s="4"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I74" s="5" t="s">
        <v>1239</v>
      </c>
      <c r="J74" s="5" t="s">
        <v>1201</v>
      </c>
    </row>
    <row r="75" spans="1:10" ht="60" x14ac:dyDescent="0.25">
      <c r="A75">
        <v>66</v>
      </c>
      <c r="B75" t="str">
        <f>orig_e_resources_table!B67</f>
        <v>Dissertations and Theses</v>
      </c>
      <c r="C75" t="str">
        <f>IF(orig_e_resources_table!C67="","",orig_e_resources_table!C67)</f>
        <v/>
      </c>
      <c r="D75" t="str">
        <f>orig_e_resources_table!D67</f>
        <v>http://search.proquest.com/pqdtft</v>
      </c>
      <c r="E75" t="str">
        <f>LOWER(IF(orig_e_resources_table!F67=1,TRUE,FALSE))</f>
        <v>true</v>
      </c>
      <c r="F75" t="str">
        <f>LOWER(IF(orig_e_resources_table!I67=1,TRUE,FALSE))</f>
        <v>true</v>
      </c>
      <c r="G75" s="4" t="str">
        <f>SUBSTITUTE(SUBSTITUTE(orig_e_resources_table!O67,CHAR(13),""),CHAR(10),"")</f>
        <v>Online database of doctoral dissertations and master's theses. Full-text is available for many items, and ordering/purchasing information is included for those items with no full-text.</v>
      </c>
      <c r="I75" s="5" t="s">
        <v>1227</v>
      </c>
      <c r="J75" s="5" t="s">
        <v>1211</v>
      </c>
    </row>
    <row r="76" spans="1:10" ht="75" x14ac:dyDescent="0.25">
      <c r="A76">
        <v>67</v>
      </c>
      <c r="B76" t="str">
        <f>orig_e_resources_table!B68</f>
        <v>Dissertations and Theses at IIT</v>
      </c>
      <c r="C76" t="str">
        <f>IF(orig_e_resources_table!C68="","",orig_e_resources_table!C68)</f>
        <v/>
      </c>
      <c r="D76" t="str">
        <f>orig_e_resources_table!D68</f>
        <v>http://search.proquest.com/pqdtlocal</v>
      </c>
      <c r="E76" t="str">
        <f>LOWER(IF(orig_e_resources_table!F68=1,TRUE,FALSE))</f>
        <v>true</v>
      </c>
      <c r="F76" t="str">
        <f>LOWER(IF(orig_e_resources_table!I68=1,TRUE,FALSE))</f>
        <v>true</v>
      </c>
      <c r="G76" s="4"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c r="I76" s="5" t="s">
        <v>1227</v>
      </c>
      <c r="J76" s="5" t="s">
        <v>1211</v>
      </c>
    </row>
    <row r="77" spans="1:10" ht="240" x14ac:dyDescent="0.25">
      <c r="A77">
        <v>168</v>
      </c>
      <c r="B77" t="str">
        <f>orig_e_resources_table!B169</f>
        <v>DTIC Online: Public Technical Reports</v>
      </c>
      <c r="C77" t="str">
        <f>IF(orig_e_resources_table!C169="","",orig_e_resources_table!C169)</f>
        <v/>
      </c>
      <c r="D77" t="str">
        <f>orig_e_resources_table!D169</f>
        <v>http://www.dtic.mil/dtic/search/tr/</v>
      </c>
      <c r="E77" t="str">
        <f>LOWER(IF(orig_e_resources_table!F169=1,TRUE,FALSE))</f>
        <v>true</v>
      </c>
      <c r="F77" t="str">
        <f>LOWER(IF(orig_e_resources_table!I169=1,TRUE,FALSE))</f>
        <v>false</v>
      </c>
      <c r="G77" s="4"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c r="I77" s="5" t="s">
        <v>1230</v>
      </c>
      <c r="J77" s="5" t="s">
        <v>1212</v>
      </c>
    </row>
    <row r="78" spans="1:10" ht="300" x14ac:dyDescent="0.25">
      <c r="A78">
        <v>69</v>
      </c>
      <c r="B78" t="str">
        <f>orig_e_resources_table!B70</f>
        <v>Earthquake Engineering Abstracts</v>
      </c>
      <c r="C78" t="str">
        <f>IF(orig_e_resources_table!C70="","",orig_e_resources_table!C70)</f>
        <v/>
      </c>
      <c r="D78" t="str">
        <f>orig_e_resources_table!D70</f>
        <v>http://www.csa.com/htbin/dbrng.cgi?username=paulg&amp;access=paulg20&amp;db=earthquake-set-c</v>
      </c>
      <c r="E78" t="str">
        <f>LOWER(IF(orig_e_resources_table!F70=1,TRUE,FALSE))</f>
        <v>false</v>
      </c>
      <c r="F78" t="str">
        <f>LOWER(IF(orig_e_resources_table!I70=1,TRUE,FALSE))</f>
        <v>true</v>
      </c>
      <c r="G78" s="4"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c r="I78" s="5"/>
      <c r="J78" s="5" t="s">
        <v>1201</v>
      </c>
    </row>
    <row r="79" spans="1:10" ht="165" x14ac:dyDescent="0.25">
      <c r="A79">
        <v>260</v>
      </c>
      <c r="B79" t="str">
        <f>orig_e_resources_table!B261</f>
        <v>Earthquake Engineering Online Archive</v>
      </c>
      <c r="C79" t="str">
        <f>IF(orig_e_resources_table!C261="","",orig_e_resources_table!C261)</f>
        <v>EEOA</v>
      </c>
      <c r="D79" t="str">
        <f>orig_e_resources_table!D261</f>
        <v>http://nisee.berkeley.edu/elibrary/</v>
      </c>
      <c r="E79" t="str">
        <f>LOWER(IF(orig_e_resources_table!F261=1,TRUE,FALSE))</f>
        <v>true</v>
      </c>
      <c r="F79" t="str">
        <f>LOWER(IF(orig_e_resources_table!I261=1,TRUE,FALSE))</f>
        <v>false</v>
      </c>
      <c r="G79" s="4"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c r="I79" s="5" t="s">
        <v>1246</v>
      </c>
      <c r="J79" s="5" t="s">
        <v>1201</v>
      </c>
    </row>
    <row r="80" spans="1:10" ht="45" x14ac:dyDescent="0.25">
      <c r="A80">
        <v>144</v>
      </c>
      <c r="B80" t="str">
        <f>orig_e_resources_table!B145</f>
        <v>eBook Collection (EBSCOhost)</v>
      </c>
      <c r="C80" t="str">
        <f>IF(orig_e_resources_table!C145="","",orig_e_resources_table!C145)</f>
        <v/>
      </c>
      <c r="D80" t="str">
        <f>orig_e_resources_table!D145</f>
        <v>http://search.EBSCOhost.com/login.asp?profile=web&amp;defaultdb=nlebk</v>
      </c>
      <c r="E80" t="str">
        <f>LOWER(IF(orig_e_resources_table!F145=1,TRUE,FALSE))</f>
        <v>true</v>
      </c>
      <c r="F80" t="str">
        <f>LOWER(IF(orig_e_resources_table!I145=1,TRUE,FALSE))</f>
        <v>true</v>
      </c>
      <c r="G80" s="4" t="str">
        <f>SUBSTITUTE(SUBSTITUTE(orig_e_resources_table!O145,CHAR(13),""),CHAR(10),"")</f>
        <v>This database contains almost 3,400 electronic books made available through the Illinois Digital Academic Library (IDAL).</v>
      </c>
      <c r="I80" s="5" t="s">
        <v>1227</v>
      </c>
      <c r="J80" s="5" t="s">
        <v>1204</v>
      </c>
    </row>
    <row r="81" spans="1:10" x14ac:dyDescent="0.25">
      <c r="A81">
        <v>70</v>
      </c>
      <c r="B81" t="str">
        <f>orig_e_resources_table!B71</f>
        <v>ECO</v>
      </c>
      <c r="C81" t="str">
        <f>IF(orig_e_resources_table!C71="","",orig_e_resources_table!C71)</f>
        <v>Electronic Collections Online</v>
      </c>
      <c r="D81" t="str">
        <f>orig_e_resources_table!D71</f>
        <v>http://newfirstsearch.oclc.org/dbname=ECO;FSIP</v>
      </c>
      <c r="E81" t="str">
        <f>LOWER(IF(orig_e_resources_table!F71=1,TRUE,FALSE))</f>
        <v>true</v>
      </c>
      <c r="F81" t="str">
        <f>LOWER(IF(orig_e_resources_table!I71=1,TRUE,FALSE))</f>
        <v>true</v>
      </c>
      <c r="G81" s="4" t="str">
        <f>SUBSTITUTE(SUBSTITUTE(orig_e_resources_table!O71,CHAR(13),""),CHAR(10),"")</f>
        <v>An OCLC collection of scholarly journals.</v>
      </c>
      <c r="I81" s="5" t="s">
        <v>1244</v>
      </c>
      <c r="J81" s="5" t="s">
        <v>1201</v>
      </c>
    </row>
    <row r="82" spans="1:10" ht="195" x14ac:dyDescent="0.25">
      <c r="A82">
        <v>71</v>
      </c>
      <c r="B82" t="str">
        <f>orig_e_resources_table!B72</f>
        <v>Ecology Abstracts</v>
      </c>
      <c r="C82" t="str">
        <f>IF(orig_e_resources_table!C72="","",orig_e_resources_table!C72)</f>
        <v/>
      </c>
      <c r="D82" t="str">
        <f>orig_e_resources_table!D72</f>
        <v>http://www.csa.com/htbin/dbrng.cgi?username=paulg&amp;access=paulg20&amp;db=ecology-set-c</v>
      </c>
      <c r="E82" t="str">
        <f>LOWER(IF(orig_e_resources_table!F72=1,TRUE,FALSE))</f>
        <v>false</v>
      </c>
      <c r="F82" t="str">
        <f>LOWER(IF(orig_e_resources_table!I72=1,TRUE,FALSE))</f>
        <v>true</v>
      </c>
      <c r="G82" s="4"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I82" s="5"/>
      <c r="J82" s="5" t="s">
        <v>1201</v>
      </c>
    </row>
    <row r="83" spans="1:10" ht="135" x14ac:dyDescent="0.25">
      <c r="A83">
        <v>72</v>
      </c>
      <c r="B83" t="str">
        <f>orig_e_resources_table!B73</f>
        <v>EconLit</v>
      </c>
      <c r="C83" t="str">
        <f>IF(orig_e_resources_table!C73="","",orig_e_resources_table!C73)</f>
        <v/>
      </c>
      <c r="D83" t="str">
        <f>orig_e_resources_table!D73</f>
        <v>http://search.EBSCOhost.com/login.asp?profile=web&amp;defaultdb=ecn</v>
      </c>
      <c r="E83" t="str">
        <f>LOWER(IF(orig_e_resources_table!F73=1,TRUE,FALSE))</f>
        <v>true</v>
      </c>
      <c r="F83" t="str">
        <f>LOWER(IF(orig_e_resources_table!I73=1,TRUE,FALSE))</f>
        <v>true</v>
      </c>
      <c r="G83" s="4"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I83" s="5" t="s">
        <v>1255</v>
      </c>
      <c r="J83" s="5" t="s">
        <v>1201</v>
      </c>
    </row>
    <row r="84" spans="1:10" ht="45" x14ac:dyDescent="0.25">
      <c r="A84">
        <v>73</v>
      </c>
      <c r="B84" t="str">
        <f>orig_e_resources_table!B74</f>
        <v>Eighteenth Century Collections Online</v>
      </c>
      <c r="C84" t="str">
        <f>IF(orig_e_resources_table!C74="","",orig_e_resources_table!C74)</f>
        <v/>
      </c>
      <c r="D84" t="str">
        <f>orig_e_resources_table!D74</f>
        <v>http://find.galegroup.com/menu/start?userGroupName=chic40381&amp;prod=ECCO</v>
      </c>
      <c r="E84" t="str">
        <f>LOWER(IF(orig_e_resources_table!F74=1,TRUE,FALSE))</f>
        <v>true</v>
      </c>
      <c r="F84" t="str">
        <f>LOWER(IF(orig_e_resources_table!I74=1,TRUE,FALSE))</f>
        <v>false</v>
      </c>
      <c r="G84" s="4" t="str">
        <f>SUBSTITUTE(SUBSTITUTE(orig_e_resources_table!O74,CHAR(13),""),CHAR(10),"")</f>
        <v>Online collection of 150,000 books published during the 18th century, covering the fields of history, literature, religion, law, fine arts, science and more.</v>
      </c>
      <c r="I84" s="5" t="s">
        <v>1256</v>
      </c>
      <c r="J84" s="5" t="s">
        <v>1201</v>
      </c>
    </row>
    <row r="85" spans="1:10" ht="120" x14ac:dyDescent="0.25">
      <c r="A85">
        <v>74</v>
      </c>
      <c r="B85" t="str">
        <f>orig_e_resources_table!B75</f>
        <v>EIS</v>
      </c>
      <c r="C85" t="str">
        <f>IF(orig_e_resources_table!C75="","",orig_e_resources_table!C75)</f>
        <v>Digests of Environmental Impact Statements</v>
      </c>
      <c r="D85" t="str">
        <f>orig_e_resources_table!D75</f>
        <v>http://www.csa.com/htbin/dbrng.cgi?username=paulg&amp;access=paulg20&amp;db=eis-set-c</v>
      </c>
      <c r="E85" t="str">
        <f>LOWER(IF(orig_e_resources_table!F75=1,TRUE,FALSE))</f>
        <v>false</v>
      </c>
      <c r="F85" t="str">
        <f>LOWER(IF(orig_e_resources_table!I75=1,TRUE,FALSE))</f>
        <v>true</v>
      </c>
      <c r="G85" s="4"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c r="I85" s="5"/>
      <c r="J85" s="5" t="s">
        <v>1201</v>
      </c>
    </row>
    <row r="86" spans="1:10" ht="165" x14ac:dyDescent="0.25">
      <c r="A86">
        <v>75</v>
      </c>
      <c r="B86" t="str">
        <f>orig_e_resources_table!B76</f>
        <v>Electronics and Communications Abstracts</v>
      </c>
      <c r="C86" t="str">
        <f>IF(orig_e_resources_table!C76="","",orig_e_resources_table!C76)</f>
        <v/>
      </c>
      <c r="D86" t="str">
        <f>orig_e_resources_table!D76</f>
        <v>http://www.csa.com/htbin/dbrng.cgi?username=paulg&amp;access=paulg20&amp;db=electronics-set-c</v>
      </c>
      <c r="E86" t="str">
        <f>LOWER(IF(orig_e_resources_table!F76=1,TRUE,FALSE))</f>
        <v>false</v>
      </c>
      <c r="F86" t="str">
        <f>LOWER(IF(orig_e_resources_table!I76=1,TRUE,FALSE))</f>
        <v>true</v>
      </c>
      <c r="G86" s="4"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I86" s="5"/>
      <c r="J86" s="5" t="s">
        <v>1201</v>
      </c>
    </row>
    <row r="87" spans="1:10" ht="210" x14ac:dyDescent="0.25">
      <c r="A87">
        <v>76</v>
      </c>
      <c r="B87" t="str">
        <f>orig_e_resources_table!B77</f>
        <v>Emporis</v>
      </c>
      <c r="C87" t="str">
        <f>IF(orig_e_resources_table!C77="","",orig_e_resources_table!C77)</f>
        <v/>
      </c>
      <c r="D87" t="str">
        <f>orig_e_resources_table!D77</f>
        <v>http://research.emporis.com/</v>
      </c>
      <c r="E87" t="str">
        <f>LOWER(IF(orig_e_resources_table!F77=1,TRUE,FALSE))</f>
        <v>false</v>
      </c>
      <c r="F87" t="str">
        <f>LOWER(IF(orig_e_resources_table!I77=1,TRUE,FALSE))</f>
        <v>true</v>
      </c>
      <c r="G87" s="4"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I87" s="5"/>
      <c r="J87" s="5" t="s">
        <v>1201</v>
      </c>
    </row>
    <row r="88" spans="1:10" ht="105" x14ac:dyDescent="0.25">
      <c r="A88">
        <v>77</v>
      </c>
      <c r="B88" t="str">
        <f>orig_e_resources_table!B78</f>
        <v>Endocrinology Abstracts</v>
      </c>
      <c r="C88" t="str">
        <f>IF(orig_e_resources_table!C78="","",orig_e_resources_table!C78)</f>
        <v/>
      </c>
      <c r="D88" t="str">
        <f>orig_e_resources_table!D78</f>
        <v>http://www.csa.com/htbin/dbrng.cgi?username=paulg&amp;access=paulg20&amp;db=endocrinology-archival-set-c</v>
      </c>
      <c r="E88" t="str">
        <f>LOWER(IF(orig_e_resources_table!F78=1,TRUE,FALSE))</f>
        <v>false</v>
      </c>
      <c r="F88" t="str">
        <f>LOWER(IF(orig_e_resources_table!I78=1,TRUE,FALSE))</f>
        <v>true</v>
      </c>
      <c r="G88" s="4"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I88" s="5"/>
      <c r="J88" s="5" t="s">
        <v>1201</v>
      </c>
    </row>
    <row r="89" spans="1:10" ht="135" x14ac:dyDescent="0.25">
      <c r="A89">
        <v>78</v>
      </c>
      <c r="B89" t="str">
        <f>orig_e_resources_table!B79</f>
        <v>Energy Citations Database</v>
      </c>
      <c r="C89" t="str">
        <f>IF(orig_e_resources_table!C79="","",orig_e_resources_table!C79)</f>
        <v/>
      </c>
      <c r="D89" t="str">
        <f>orig_e_resources_table!D79</f>
        <v>http://www.osti.gov/energycitations/basicsearch.jsp</v>
      </c>
      <c r="E89" t="str">
        <f>LOWER(IF(orig_e_resources_table!F79=1,TRUE,FALSE))</f>
        <v>true</v>
      </c>
      <c r="F89" t="str">
        <f>LOWER(IF(orig_e_resources_table!I79=1,TRUE,FALSE))</f>
        <v>false</v>
      </c>
      <c r="G89" s="4"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I89" s="5" t="s">
        <v>1257</v>
      </c>
      <c r="J89" s="5" t="s">
        <v>1201</v>
      </c>
    </row>
    <row r="90" spans="1:10" ht="150" x14ac:dyDescent="0.25">
      <c r="A90">
        <v>79</v>
      </c>
      <c r="B90" t="str">
        <f>orig_e_resources_table!B80</f>
        <v>Engineered Materials Abstracts</v>
      </c>
      <c r="C90" t="str">
        <f>IF(orig_e_resources_table!C80="","",orig_e_resources_table!C80)</f>
        <v/>
      </c>
      <c r="D90" t="str">
        <f>orig_e_resources_table!D80</f>
        <v>http://www.csa.com/htbin/dbrng.cgi?username=paulg&amp;access=paulg20&amp;db=emaclust-set-c</v>
      </c>
      <c r="E90" t="str">
        <f>LOWER(IF(orig_e_resources_table!F80=1,TRUE,FALSE))</f>
        <v>false</v>
      </c>
      <c r="F90" t="str">
        <f>LOWER(IF(orig_e_resources_table!I80=1,TRUE,FALSE))</f>
        <v>true</v>
      </c>
      <c r="G90" s="4"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c r="I90" s="5"/>
      <c r="J90" s="5" t="s">
        <v>1201</v>
      </c>
    </row>
    <row r="91" spans="1:10" ht="105" x14ac:dyDescent="0.25">
      <c r="A91">
        <v>80</v>
      </c>
      <c r="B91" t="str">
        <f>orig_e_resources_table!B81</f>
        <v>Engineered Materials Abstracts, Ceramics</v>
      </c>
      <c r="C91" t="str">
        <f>IF(orig_e_resources_table!C81="","",orig_e_resources_table!C81)</f>
        <v/>
      </c>
      <c r="D91" t="str">
        <f>orig_e_resources_table!D81</f>
        <v>http://www.csa.com/htbin/dbrng.cgi?username=paulg&amp;access=paulg20&amp;db=ema-ceramics-set-c</v>
      </c>
      <c r="E91" t="str">
        <f>LOWER(IF(orig_e_resources_table!F81=1,TRUE,FALSE))</f>
        <v>false</v>
      </c>
      <c r="F91" t="str">
        <f>LOWER(IF(orig_e_resources_table!I81=1,TRUE,FALSE))</f>
        <v>true</v>
      </c>
      <c r="G91" s="4"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c r="I91" s="5"/>
      <c r="J91" s="5" t="s">
        <v>1201</v>
      </c>
    </row>
    <row r="92" spans="1:10" x14ac:dyDescent="0.25">
      <c r="A92">
        <v>81</v>
      </c>
      <c r="B92" t="str">
        <f>orig_e_resources_table!B82</f>
        <v>Engineering Sciences and Pollution Management</v>
      </c>
      <c r="C92" t="str">
        <f>IF(orig_e_resources_table!C82="","",orig_e_resources_table!C82)</f>
        <v/>
      </c>
      <c r="D92" t="str">
        <f>orig_e_resources_table!D82</f>
        <v>http://www.csa.com/htbin/dbrng.cgi?username=paulg&amp;access=paulg20&amp;db=envclust-set-c</v>
      </c>
      <c r="E92" t="str">
        <f>LOWER(IF(orig_e_resources_table!F82=1,TRUE,FALSE))</f>
        <v>false</v>
      </c>
      <c r="F92" t="str">
        <f>LOWER(IF(orig_e_resources_table!I82=1,TRUE,FALSE))</f>
        <v>true</v>
      </c>
      <c r="G92" s="4" t="str">
        <f>SUBSTITUTE(SUBSTITUTE(orig_e_resources_table!O82,CHAR(13),""),CHAR(10),"")</f>
        <v/>
      </c>
      <c r="I92" s="5"/>
      <c r="J92" s="5" t="s">
        <v>1201</v>
      </c>
    </row>
    <row r="93" spans="1:10" ht="60" x14ac:dyDescent="0.25">
      <c r="A93">
        <v>82</v>
      </c>
      <c r="B93" t="str">
        <f>orig_e_resources_table!B83</f>
        <v>Entomology Abstracts</v>
      </c>
      <c r="C93" t="str">
        <f>IF(orig_e_resources_table!C83="","",orig_e_resources_table!C83)</f>
        <v/>
      </c>
      <c r="D93" t="str">
        <f>orig_e_resources_table!D83</f>
        <v>http://www.csa.com/htbin/dbrng.cgi?username=paulg&amp;access=paulg20&amp;db=entomology-set-c</v>
      </c>
      <c r="E93" t="str">
        <f>LOWER(IF(orig_e_resources_table!F83=1,TRUE,FALSE))</f>
        <v>false</v>
      </c>
      <c r="F93" t="str">
        <f>LOWER(IF(orig_e_resources_table!I83=1,TRUE,FALSE))</f>
        <v>true</v>
      </c>
      <c r="G93" s="4" t="str">
        <f>SUBSTITUTE(SUBSTITUTE(orig_e_resources_table!O83,CHAR(13),""),CHAR(10),"")</f>
        <v>Entomology Abstracts covers recent research reports on entomology, with coverage including insects, arachnids, myriapods, onychophorans, and terrestrial isopods.</v>
      </c>
      <c r="I93" s="5"/>
      <c r="J93" s="5" t="s">
        <v>1201</v>
      </c>
    </row>
    <row r="94" spans="1:10" ht="120" x14ac:dyDescent="0.25">
      <c r="A94">
        <v>83</v>
      </c>
      <c r="B94" t="str">
        <f>orig_e_resources_table!B84</f>
        <v>Environmental Engineering Abstracts</v>
      </c>
      <c r="C94" t="str">
        <f>IF(orig_e_resources_table!C84="","",orig_e_resources_table!C84)</f>
        <v/>
      </c>
      <c r="D94" t="str">
        <f>orig_e_resources_table!D84</f>
        <v>http://www.csa.com/htbin/dbrng.cgi?username=paulg&amp;access=paulg20&amp;db=environmental-set-c</v>
      </c>
      <c r="E94" t="str">
        <f>LOWER(IF(orig_e_resources_table!F84=1,TRUE,FALSE))</f>
        <v>false</v>
      </c>
      <c r="F94" t="str">
        <f>LOWER(IF(orig_e_resources_table!I84=1,TRUE,FALSE))</f>
        <v>true</v>
      </c>
      <c r="G94" s="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I94" s="5"/>
      <c r="J94" s="5" t="s">
        <v>1201</v>
      </c>
    </row>
    <row r="95" spans="1:10" ht="240" x14ac:dyDescent="0.25">
      <c r="A95">
        <v>84</v>
      </c>
      <c r="B95" t="str">
        <f>orig_e_resources_table!B85</f>
        <v>Environmental Sciences and Pollution Mgmt</v>
      </c>
      <c r="C95" t="str">
        <f>IF(orig_e_resources_table!C85="","",orig_e_resources_table!C85)</f>
        <v/>
      </c>
      <c r="D95" t="str">
        <f>orig_e_resources_table!D85</f>
        <v>http://www.csa.com/htbin/dbrng.cgi?username=paulg&amp;access=paulg20&amp;db=envclust-set-c</v>
      </c>
      <c r="E95" t="str">
        <f>LOWER(IF(orig_e_resources_table!F85=1,TRUE,FALSE))</f>
        <v>true</v>
      </c>
      <c r="F95" t="str">
        <f>LOWER(IF(orig_e_resources_table!I85=1,TRUE,FALSE))</f>
        <v>true</v>
      </c>
      <c r="G95" s="4"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I95" s="5" t="s">
        <v>1258</v>
      </c>
      <c r="J95" s="5" t="s">
        <v>1201</v>
      </c>
    </row>
    <row r="96" spans="1:10" ht="135" x14ac:dyDescent="0.25">
      <c r="A96">
        <v>85</v>
      </c>
      <c r="B96" t="str">
        <f>orig_e_resources_table!B86</f>
        <v>EPA Science Inventory</v>
      </c>
      <c r="C96" t="str">
        <f>IF(orig_e_resources_table!C86="","",orig_e_resources_table!C86)</f>
        <v/>
      </c>
      <c r="D96" t="str">
        <f>orig_e_resources_table!D86</f>
        <v>http://cfpub.epa.gov/si</v>
      </c>
      <c r="E96" t="str">
        <f>LOWER(IF(orig_e_resources_table!F86=1,TRUE,FALSE))</f>
        <v>true</v>
      </c>
      <c r="F96" t="str">
        <f>LOWER(IF(orig_e_resources_table!I86=1,TRUE,FALSE))</f>
        <v>false</v>
      </c>
      <c r="G96" s="4"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c r="I96" s="5" t="s">
        <v>1258</v>
      </c>
      <c r="J96" s="5" t="s">
        <v>1201</v>
      </c>
    </row>
    <row r="97" spans="1:10" ht="120" x14ac:dyDescent="0.25">
      <c r="A97">
        <v>86</v>
      </c>
      <c r="B97" t="str">
        <f>orig_e_resources_table!B87</f>
        <v>E-print Network</v>
      </c>
      <c r="C97" t="str">
        <f>IF(orig_e_resources_table!C87="","",orig_e_resources_table!C87)</f>
        <v/>
      </c>
      <c r="D97" t="str">
        <f>orig_e_resources_table!D87</f>
        <v>http://eprints.osti.gov/</v>
      </c>
      <c r="E97" t="str">
        <f>LOWER(IF(orig_e_resources_table!F87=1,TRUE,FALSE))</f>
        <v>true</v>
      </c>
      <c r="F97" t="str">
        <f>LOWER(IF(orig_e_resources_table!I87=1,TRUE,FALSE))</f>
        <v>false</v>
      </c>
      <c r="G97" s="4"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I97" s="5" t="s">
        <v>1259</v>
      </c>
      <c r="J97" s="5" t="s">
        <v>1201</v>
      </c>
    </row>
    <row r="98" spans="1:10" ht="210" x14ac:dyDescent="0.25">
      <c r="A98">
        <v>87</v>
      </c>
      <c r="B98" t="str">
        <f>orig_e_resources_table!B88</f>
        <v>ERIC</v>
      </c>
      <c r="C98" t="str">
        <f>IF(orig_e_resources_table!C88="","",orig_e_resources_table!C88)</f>
        <v>Education Resources Information Center</v>
      </c>
      <c r="D98" t="str">
        <f>orig_e_resources_table!D88</f>
        <v>http://search.EBSCOhost.com/login.asp?profile=web&amp;defaultdb=eric</v>
      </c>
      <c r="E98" t="str">
        <f>LOWER(IF(orig_e_resources_table!F88=1,TRUE,FALSE))</f>
        <v>true</v>
      </c>
      <c r="F98" t="str">
        <f>LOWER(IF(orig_e_resources_table!I88=1,TRUE,FALSE))</f>
        <v>true</v>
      </c>
      <c r="G98" s="4"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I98" s="5" t="s">
        <v>1260</v>
      </c>
      <c r="J98" s="5" t="s">
        <v>1201</v>
      </c>
    </row>
    <row r="99" spans="1:10" ht="165" x14ac:dyDescent="0.25">
      <c r="A99">
        <v>88</v>
      </c>
      <c r="B99" t="str">
        <f>orig_e_resources_table!B89</f>
        <v>esp@cenet</v>
      </c>
      <c r="C99" t="str">
        <f>IF(orig_e_resources_table!C89="","",orig_e_resources_table!C89)</f>
        <v/>
      </c>
      <c r="D99" t="str">
        <f>orig_e_resources_table!D89</f>
        <v>http://ep.espacenet.com/</v>
      </c>
      <c r="E99" t="str">
        <f>LOWER(IF(orig_e_resources_table!F89=1,TRUE,FALSE))</f>
        <v>true</v>
      </c>
      <c r="F99" t="str">
        <f>LOWER(IF(orig_e_resources_table!I89=1,TRUE,FALSE))</f>
        <v>false</v>
      </c>
      <c r="G99" s="4"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I99" s="5" t="s">
        <v>1238</v>
      </c>
      <c r="J99" s="5" t="s">
        <v>1201</v>
      </c>
    </row>
    <row r="100" spans="1:10" ht="105" x14ac:dyDescent="0.25">
      <c r="A100">
        <v>89</v>
      </c>
      <c r="B100" t="str">
        <f>orig_e_resources_table!B90</f>
        <v>Fermilab Technical Publications</v>
      </c>
      <c r="C100" t="str">
        <f>IF(orig_e_resources_table!C90="","",orig_e_resources_table!C90)</f>
        <v/>
      </c>
      <c r="D100" t="str">
        <f>orig_e_resources_table!D90</f>
        <v>http://bss.fnal.gov/techpubs/fermilab_spires.html</v>
      </c>
      <c r="E100" t="str">
        <f>LOWER(IF(orig_e_resources_table!F90=1,TRUE,FALSE))</f>
        <v>true</v>
      </c>
      <c r="F100" t="str">
        <f>LOWER(IF(orig_e_resources_table!I90=1,TRUE,FALSE))</f>
        <v>false</v>
      </c>
      <c r="G100" s="4"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I100" s="5" t="s">
        <v>1200</v>
      </c>
      <c r="J100" s="5" t="s">
        <v>1201</v>
      </c>
    </row>
    <row r="101" spans="1:10" ht="165" x14ac:dyDescent="0.25">
      <c r="A101">
        <v>90</v>
      </c>
      <c r="B101" t="str">
        <f>orig_e_resources_table!B91</f>
        <v>FSTA - Food Science and Technology Abstracts</v>
      </c>
      <c r="C101" t="str">
        <f>IF(orig_e_resources_table!C91="","",orig_e_resources_table!C91)</f>
        <v/>
      </c>
      <c r="D101" t="str">
        <f>orig_e_resources_table!D91</f>
        <v>http://search.EBSCOhost.com/login.asp?profile=web&amp;defaultdb=ffh</v>
      </c>
      <c r="E101" t="str">
        <f>LOWER(IF(orig_e_resources_table!F91=1,TRUE,FALSE))</f>
        <v>false</v>
      </c>
      <c r="F101" t="str">
        <f>LOWER(IF(orig_e_resources_table!I91=1,TRUE,FALSE))</f>
        <v>true</v>
      </c>
      <c r="G101" s="4"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c r="I101" s="5"/>
      <c r="J101" s="5" t="s">
        <v>1201</v>
      </c>
    </row>
    <row r="102" spans="1:10" ht="30" x14ac:dyDescent="0.25">
      <c r="A102">
        <v>91</v>
      </c>
      <c r="B102" t="str">
        <f>orig_e_resources_table!B92</f>
        <v>Funk &amp;amp; Wagnalls New World Encyclopedia</v>
      </c>
      <c r="C102" t="str">
        <f>IF(orig_e_resources_table!C92="","",orig_e_resources_table!C92)</f>
        <v/>
      </c>
      <c r="D102" t="str">
        <f>orig_e_resources_table!D92</f>
        <v>http://search.EBSCOhost.com/login.asp?profile=web&amp;defaultdb=funk</v>
      </c>
      <c r="E102" t="str">
        <f>LOWER(IF(orig_e_resources_table!F92=1,TRUE,FALSE))</f>
        <v>true</v>
      </c>
      <c r="F102" t="str">
        <f>LOWER(IF(orig_e_resources_table!I92=1,TRUE,FALSE))</f>
        <v>true</v>
      </c>
      <c r="G102" s="4" t="str">
        <f>SUBSTITUTE(SUBSTITUTE(orig_e_resources_table!O92,CHAR(13),""),CHAR(10),"")</f>
        <v>Online version of the popular encyclopedia, featuring over 25,000 entries, covering a broad array of topics.</v>
      </c>
      <c r="I102" s="5" t="s">
        <v>1244</v>
      </c>
      <c r="J102" s="5" t="s">
        <v>1202</v>
      </c>
    </row>
    <row r="103" spans="1:10" ht="75" x14ac:dyDescent="0.25">
      <c r="A103">
        <v>245</v>
      </c>
      <c r="B103" t="str">
        <f>orig_e_resources_table!B246</f>
        <v>Gale Virtual Reference Library</v>
      </c>
      <c r="C103" t="str">
        <f>IF(orig_e_resources_table!C246="","",orig_e_resources_table!C246)</f>
        <v>NULL</v>
      </c>
      <c r="D103" t="str">
        <f>orig_e_resources_table!D246</f>
        <v>http://infotrac.galegroup.com/itweb/chic7029?db=GVRL</v>
      </c>
      <c r="E103" t="str">
        <f>LOWER(IF(orig_e_resources_table!F246=1,TRUE,FALSE))</f>
        <v>true</v>
      </c>
      <c r="F103" t="str">
        <f>LOWER(IF(orig_e_resources_table!I246=1,TRUE,FALSE))</f>
        <v>true</v>
      </c>
      <c r="G103" s="4"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I103" s="5" t="s">
        <v>1244</v>
      </c>
      <c r="J103" s="5" t="s">
        <v>1202</v>
      </c>
    </row>
    <row r="104" spans="1:10" ht="60" x14ac:dyDescent="0.25">
      <c r="A104">
        <v>216</v>
      </c>
      <c r="B104" t="str">
        <f>orig_e_resources_table!B217</f>
        <v>Galvin Library Public Administration Index</v>
      </c>
      <c r="C104" t="str">
        <f>IF(orig_e_resources_table!C217="","",orig_e_resources_table!C217)</f>
        <v>NULL</v>
      </c>
      <c r="D104" t="str">
        <f>orig_e_resources_table!D217</f>
        <v>http://guides.library.iit.edu/content.php?pid=27903&amp;sid=205275</v>
      </c>
      <c r="E104" t="str">
        <f>LOWER(IF(orig_e_resources_table!F217=1,TRUE,FALSE))</f>
        <v>true</v>
      </c>
      <c r="F104" t="str">
        <f>LOWER(IF(orig_e_resources_table!I217=1,TRUE,FALSE))</f>
        <v>false</v>
      </c>
      <c r="G104" s="4" t="str">
        <f>SUBSTITUTE(SUBSTITUTE(orig_e_resources_table!O217,CHAR(13),""),CHAR(10),"")</f>
        <v>Prepared by the Government Documents Depository staff at the Paul V. Galvin Library, this index provides access to the most widely used publicly available policy analysis and legislative websites.</v>
      </c>
      <c r="I104" s="5" t="s">
        <v>1261</v>
      </c>
      <c r="J104" s="5" t="s">
        <v>1201</v>
      </c>
    </row>
    <row r="105" spans="1:10" ht="45" x14ac:dyDescent="0.25">
      <c r="A105">
        <v>92</v>
      </c>
      <c r="B105" t="str">
        <f>orig_e_resources_table!B93</f>
        <v>GenBank</v>
      </c>
      <c r="C105" t="str">
        <f>IF(orig_e_resources_table!C93="","",orig_e_resources_table!C93)</f>
        <v/>
      </c>
      <c r="D105" t="str">
        <f>orig_e_resources_table!D93</f>
        <v>http://www.ncbi.nlm.nih.gov/Genbank/</v>
      </c>
      <c r="E105" t="str">
        <f>LOWER(IF(orig_e_resources_table!F93=1,TRUE,FALSE))</f>
        <v>true</v>
      </c>
      <c r="F105" t="str">
        <f>LOWER(IF(orig_e_resources_table!I93=1,TRUE,FALSE))</f>
        <v>false</v>
      </c>
      <c r="G105" s="4" t="str">
        <f>SUBSTITUTE(SUBSTITUTE(orig_e_resources_table!O93,CHAR(13),""),CHAR(10),"")</f>
        <v>GenBank is the National Institute of Health (NIH) genetic sequence database, an annotated collection of all publicly available DNA sequences.</v>
      </c>
      <c r="I105" s="5" t="s">
        <v>1262</v>
      </c>
      <c r="J105" s="5" t="s">
        <v>1201</v>
      </c>
    </row>
    <row r="106" spans="1:10" ht="90" x14ac:dyDescent="0.25">
      <c r="A106">
        <v>93</v>
      </c>
      <c r="B106" t="str">
        <f>orig_e_resources_table!B94</f>
        <v>Genetics Abstracts</v>
      </c>
      <c r="C106" t="str">
        <f>IF(orig_e_resources_table!C94="","",orig_e_resources_table!C94)</f>
        <v/>
      </c>
      <c r="D106" t="str">
        <f>orig_e_resources_table!D94</f>
        <v>http://www.csa.com/htbin/dbrng.cgi?username=paulg&amp;access=paulg20&amp;db=genetics-set-c</v>
      </c>
      <c r="E106" t="str">
        <f>LOWER(IF(orig_e_resources_table!F94=1,TRUE,FALSE))</f>
        <v>false</v>
      </c>
      <c r="F106" t="str">
        <f>LOWER(IF(orig_e_resources_table!I94=1,TRUE,FALSE))</f>
        <v>true</v>
      </c>
      <c r="G106" s="4"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c r="I106" s="5"/>
      <c r="J106" s="5" t="s">
        <v>1201</v>
      </c>
    </row>
    <row r="107" spans="1:10" ht="90" x14ac:dyDescent="0.25">
      <c r="A107">
        <v>178</v>
      </c>
      <c r="B107" t="str">
        <f>orig_e_resources_table!B179</f>
        <v>Getty Art &amp;amp; Architecture Thesaurus</v>
      </c>
      <c r="C107" t="str">
        <f>IF(orig_e_resources_table!C179="","",orig_e_resources_table!C179)</f>
        <v>NULL</v>
      </c>
      <c r="D107" t="str">
        <f>orig_e_resources_table!D179</f>
        <v>http://www.getty.edu/research/conducting_research/vocabularies/aat/</v>
      </c>
      <c r="E107" t="str">
        <f>LOWER(IF(orig_e_resources_table!F179=1,TRUE,FALSE))</f>
        <v>true</v>
      </c>
      <c r="F107" t="str">
        <f>LOWER(IF(orig_e_resources_table!I179=1,TRUE,FALSE))</f>
        <v>false</v>
      </c>
      <c r="G107" s="4"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I107" s="5" t="s">
        <v>1245</v>
      </c>
      <c r="J107" s="5" t="s">
        <v>1205</v>
      </c>
    </row>
    <row r="108" spans="1:10" ht="90" x14ac:dyDescent="0.25">
      <c r="A108">
        <v>152</v>
      </c>
      <c r="B108" t="str">
        <f>orig_e_resources_table!B153</f>
        <v>Getty Thesaurus of Geographic Names</v>
      </c>
      <c r="C108" t="str">
        <f>IF(orig_e_resources_table!C153="","",orig_e_resources_table!C153)</f>
        <v>NULL</v>
      </c>
      <c r="D108" t="str">
        <f>orig_e_resources_table!D153</f>
        <v>http://www.getty.edu/research/conducting_research/vocabularies/tgn/index.html</v>
      </c>
      <c r="E108" t="str">
        <f>LOWER(IF(orig_e_resources_table!F153=1,TRUE,FALSE))</f>
        <v>true</v>
      </c>
      <c r="F108" t="str">
        <f>LOWER(IF(orig_e_resources_table!I153=1,TRUE,FALSE))</f>
        <v>false</v>
      </c>
      <c r="G108" s="4"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c r="I108" s="5" t="s">
        <v>1245</v>
      </c>
      <c r="J108" s="5" t="s">
        <v>1202</v>
      </c>
    </row>
    <row r="109" spans="1:10" ht="120" x14ac:dyDescent="0.25">
      <c r="A109">
        <v>94</v>
      </c>
      <c r="B109" t="str">
        <f>orig_e_resources_table!B95</f>
        <v>Glossary of Genetic Terms</v>
      </c>
      <c r="C109" t="str">
        <f>IF(orig_e_resources_table!C95="","",orig_e_resources_table!C95)</f>
        <v/>
      </c>
      <c r="D109" t="str">
        <f>orig_e_resources_table!D95</f>
        <v>http://www.genome.gov/glossary.cfm</v>
      </c>
      <c r="E109" t="str">
        <f>LOWER(IF(orig_e_resources_table!F95=1,TRUE,FALSE))</f>
        <v>true</v>
      </c>
      <c r="F109" t="str">
        <f>LOWER(IF(orig_e_resources_table!I95=1,TRUE,FALSE))</f>
        <v>false</v>
      </c>
      <c r="G109" s="4"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c r="I109" s="5" t="s">
        <v>1263</v>
      </c>
      <c r="J109" s="5" t="s">
        <v>1202</v>
      </c>
    </row>
    <row r="110" spans="1:10" ht="135" x14ac:dyDescent="0.25">
      <c r="A110">
        <v>227</v>
      </c>
      <c r="B110" t="str">
        <f>orig_e_resources_table!B228</f>
        <v>Google Book Search</v>
      </c>
      <c r="C110" t="str">
        <f>IF(orig_e_resources_table!C228="","",orig_e_resources_table!C228)</f>
        <v>NULL</v>
      </c>
      <c r="D110" t="str">
        <f>orig_e_resources_table!D228</f>
        <v>http://books.google.com</v>
      </c>
      <c r="E110" t="str">
        <f>LOWER(IF(orig_e_resources_table!F228=1,TRUE,FALSE))</f>
        <v>true</v>
      </c>
      <c r="F110" t="str">
        <f>LOWER(IF(orig_e_resources_table!I228=1,TRUE,FALSE))</f>
        <v>false</v>
      </c>
      <c r="G110" s="4"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I110" s="5" t="s">
        <v>1244</v>
      </c>
      <c r="J110" s="5" t="s">
        <v>1213</v>
      </c>
    </row>
    <row r="111" spans="1:10" ht="120" x14ac:dyDescent="0.25">
      <c r="A111">
        <v>235</v>
      </c>
      <c r="B111" t="str">
        <f>orig_e_resources_table!B236</f>
        <v>Google News Archive Search</v>
      </c>
      <c r="C111" t="str">
        <f>IF(orig_e_resources_table!C236="","",orig_e_resources_table!C236)</f>
        <v>NULL</v>
      </c>
      <c r="D111" t="str">
        <f>orig_e_resources_table!D236</f>
        <v>http://news.google.com/archivesearch</v>
      </c>
      <c r="E111" t="str">
        <f>LOWER(IF(orig_e_resources_table!F236=1,TRUE,FALSE))</f>
        <v>true</v>
      </c>
      <c r="F111" t="str">
        <f>LOWER(IF(orig_e_resources_table!I236=1,TRUE,FALSE))</f>
        <v>false</v>
      </c>
      <c r="G111" s="4"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I111" s="5" t="s">
        <v>1264</v>
      </c>
      <c r="J111" s="5" t="s">
        <v>1214</v>
      </c>
    </row>
    <row r="112" spans="1:10" ht="30" x14ac:dyDescent="0.25">
      <c r="A112">
        <v>95</v>
      </c>
      <c r="B112" t="str">
        <f>orig_e_resources_table!B96</f>
        <v>Google Patent Search</v>
      </c>
      <c r="C112" t="str">
        <f>IF(orig_e_resources_table!C96="","",orig_e_resources_table!C96)</f>
        <v/>
      </c>
      <c r="D112" t="str">
        <f>orig_e_resources_table!D96</f>
        <v>http://www.google.com/patents</v>
      </c>
      <c r="E112" t="str">
        <f>LOWER(IF(orig_e_resources_table!F96=1,TRUE,FALSE))</f>
        <v>true</v>
      </c>
      <c r="F112" t="str">
        <f>LOWER(IF(orig_e_resources_table!I96=1,TRUE,FALSE))</f>
        <v>false</v>
      </c>
      <c r="G112" s="4" t="str">
        <f>SUBSTITUTE(SUBSTITUTE(orig_e_resources_table!O96,CHAR(13),""),CHAR(10),"")</f>
        <v>Google Patent Search offers full-text searching of the entire U.S. patent corpus.</v>
      </c>
      <c r="I112" s="5" t="s">
        <v>1238</v>
      </c>
      <c r="J112" s="5" t="s">
        <v>1215</v>
      </c>
    </row>
    <row r="113" spans="1:10" ht="150" x14ac:dyDescent="0.25">
      <c r="A113">
        <v>96</v>
      </c>
      <c r="B113" t="str">
        <f>orig_e_resources_table!B97</f>
        <v>Google Scholar</v>
      </c>
      <c r="C113" t="str">
        <f>IF(orig_e_resources_table!C97="","",orig_e_resources_table!C97)</f>
        <v/>
      </c>
      <c r="D113" t="str">
        <f>orig_e_resources_table!D97</f>
        <v>http://scholar.google.com</v>
      </c>
      <c r="E113" t="str">
        <f>LOWER(IF(orig_e_resources_table!F97=1,TRUE,FALSE))</f>
        <v>true</v>
      </c>
      <c r="F113" t="str">
        <f>LOWER(IF(orig_e_resources_table!I97=1,TRUE,FALSE))</f>
        <v>true</v>
      </c>
      <c r="G113" s="4"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I113" s="5" t="s">
        <v>1244</v>
      </c>
      <c r="J113" s="5" t="s">
        <v>1216</v>
      </c>
    </row>
    <row r="114" spans="1:10" ht="45" x14ac:dyDescent="0.25">
      <c r="A114">
        <v>213</v>
      </c>
      <c r="B114" t="str">
        <f>orig_e_resources_table!B214</f>
        <v>Government Documents Online Map Directory</v>
      </c>
      <c r="C114" t="str">
        <f>IF(orig_e_resources_table!C214="","",orig_e_resources_table!C214)</f>
        <v>NULL</v>
      </c>
      <c r="D114" t="str">
        <f>orig_e_resources_table!D214</f>
        <v>http://guides.library.iit.edu/content.php?pid=27903&amp;sid=322018</v>
      </c>
      <c r="E114" t="str">
        <f>LOWER(IF(orig_e_resources_table!F214=1,TRUE,FALSE))</f>
        <v>true</v>
      </c>
      <c r="F114" t="str">
        <f>LOWER(IF(orig_e_resources_table!I214=1,TRUE,FALSE))</f>
        <v>false</v>
      </c>
      <c r="G114" s="4" t="str">
        <f>SUBSTITUTE(SUBSTITUTE(orig_e_resources_table!O214,CHAR(13),""),CHAR(10),"")</f>
        <v>Comprehensive directory of web-based and print map resources. Maintained by the Galvin Library Government Documents Depository staff.</v>
      </c>
      <c r="I114" s="5" t="s">
        <v>1265</v>
      </c>
      <c r="J114" s="5" t="s">
        <v>1208</v>
      </c>
    </row>
    <row r="115" spans="1:10" x14ac:dyDescent="0.25">
      <c r="A115">
        <v>97</v>
      </c>
      <c r="B115" t="str">
        <f>orig_e_resources_table!B98</f>
        <v>Government Sites from Bernan</v>
      </c>
      <c r="C115" t="str">
        <f>IF(orig_e_resources_table!C98="","",orig_e_resources_table!C98)</f>
        <v/>
      </c>
      <c r="D115" t="str">
        <f>orig_e_resources_table!D98</f>
        <v>http://gii.bernan.com/</v>
      </c>
      <c r="E115" t="str">
        <f>LOWER(IF(orig_e_resources_table!F98=1,TRUE,FALSE))</f>
        <v>false</v>
      </c>
      <c r="F115" t="str">
        <f>LOWER(IF(orig_e_resources_table!I98=1,TRUE,FALSE))</f>
        <v>true</v>
      </c>
      <c r="G115" s="4" t="str">
        <f>SUBSTITUTE(SUBSTITUTE(orig_e_resources_table!O98,CHAR(13),""),CHAR(10),"")</f>
        <v/>
      </c>
      <c r="I115" s="5"/>
      <c r="J115" s="5" t="s">
        <v>1208</v>
      </c>
    </row>
    <row r="116" spans="1:10" ht="90" x14ac:dyDescent="0.25">
      <c r="A116">
        <v>98</v>
      </c>
      <c r="B116" t="str">
        <f>orig_e_resources_table!B99</f>
        <v>GPO</v>
      </c>
      <c r="C116" t="str">
        <f>IF(orig_e_resources_table!C99="","",orig_e_resources_table!C99)</f>
        <v>U.S. Government Printing Office</v>
      </c>
      <c r="D116" t="str">
        <f>orig_e_resources_table!D99</f>
        <v>http://newfirstsearch.oclc.org/dbname=GPO;FSIP</v>
      </c>
      <c r="E116" t="str">
        <f>LOWER(IF(orig_e_resources_table!F99=1,TRUE,FALSE))</f>
        <v>true</v>
      </c>
      <c r="F116" t="str">
        <f>LOWER(IF(orig_e_resources_table!I99=1,TRUE,FALSE))</f>
        <v>true</v>
      </c>
      <c r="G116" s="4"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I116" s="5" t="s">
        <v>1265</v>
      </c>
      <c r="J116" s="5" t="s">
        <v>1208</v>
      </c>
    </row>
    <row r="117" spans="1:10" ht="180" x14ac:dyDescent="0.25">
      <c r="A117">
        <v>120</v>
      </c>
      <c r="B117" t="str">
        <f>orig_e_resources_table!B121</f>
        <v>Grant Forward</v>
      </c>
      <c r="C117" t="str">
        <f>IF(orig_e_resources_table!C121="","",orig_e_resources_table!C121)</f>
        <v>Illinois Researcher Information Service</v>
      </c>
      <c r="D117" t="str">
        <f>orig_e_resources_table!D121</f>
        <v>http://www.grantforward.com</v>
      </c>
      <c r="E117" t="str">
        <f>LOWER(IF(orig_e_resources_table!F121=1,TRUE,FALSE))</f>
        <v>true</v>
      </c>
      <c r="F117" t="str">
        <f>LOWER(IF(orig_e_resources_table!I121=1,TRUE,FALSE))</f>
        <v>false</v>
      </c>
      <c r="G117" s="4"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I117" s="5" t="s">
        <v>1244</v>
      </c>
      <c r="J117" s="5" t="s">
        <v>1202</v>
      </c>
    </row>
    <row r="118" spans="1:10" ht="45" x14ac:dyDescent="0.25">
      <c r="A118">
        <v>242</v>
      </c>
      <c r="B118" t="str">
        <f>orig_e_resources_table!B243</f>
        <v>GRC Theses List</v>
      </c>
      <c r="C118" t="str">
        <f>IF(orig_e_resources_table!C243="","",orig_e_resources_table!C243)</f>
        <v>NULL</v>
      </c>
      <c r="D118" t="str">
        <f>orig_e_resources_table!D243</f>
        <v>https://docs.google.com/spreadsheet/ccc?key=0AlWl9zEZsWf_dGpuVGR0eDAyODN3ZUgtVF9PQkJnckE</v>
      </c>
      <c r="E118" t="str">
        <f>LOWER(IF(orig_e_resources_table!F243=1,TRUE,FALSE))</f>
        <v>true</v>
      </c>
      <c r="F118" t="str">
        <f>LOWER(IF(orig_e_resources_table!I243=1,TRUE,FALSE))</f>
        <v>false</v>
      </c>
      <c r="G118" s="4" t="str">
        <f>SUBSTITUTE(SUBSTITUTE(orig_e_resources_table!O243,CHAR(13),""),CHAR(10),"")</f>
        <v>This spreadsheet includes information on the authors, titles, and dates of publication of theses written by graduates of the College of Architecture at IIT.</v>
      </c>
      <c r="I118" s="5" t="s">
        <v>1239</v>
      </c>
      <c r="J118" s="5" t="s">
        <v>1211</v>
      </c>
    </row>
    <row r="119" spans="1:10" ht="120" x14ac:dyDescent="0.25">
      <c r="A119">
        <v>99</v>
      </c>
      <c r="B119" t="str">
        <f>orig_e_resources_table!B100</f>
        <v>GreenFILE</v>
      </c>
      <c r="C119" t="str">
        <f>IF(orig_e_resources_table!C100="","",orig_e_resources_table!C100)</f>
        <v/>
      </c>
      <c r="D119" t="str">
        <f>orig_e_resources_table!D100</f>
        <v>http://search.EBSCOhost.com/login.asp?profile=web&amp;defaultdb=8gh</v>
      </c>
      <c r="E119" t="str">
        <f>LOWER(IF(orig_e_resources_table!F100=1,TRUE,FALSE))</f>
        <v>true</v>
      </c>
      <c r="F119" t="str">
        <f>LOWER(IF(orig_e_resources_table!I100=1,TRUE,FALSE))</f>
        <v>true</v>
      </c>
      <c r="G119" s="4"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I119" s="5" t="s">
        <v>1266</v>
      </c>
      <c r="J119" s="5" t="s">
        <v>1201</v>
      </c>
    </row>
    <row r="120" spans="1:10" ht="105" x14ac:dyDescent="0.25">
      <c r="A120">
        <v>220</v>
      </c>
      <c r="B120" t="str">
        <f>orig_e_resources_table!B221</f>
        <v>HaPI</v>
      </c>
      <c r="C120" t="str">
        <f>IF(orig_e_resources_table!C221="","",orig_e_resources_table!C221)</f>
        <v>Health &amp;amp; Psychosocial Instruments</v>
      </c>
      <c r="D120" t="str">
        <f>orig_e_resources_table!D221</f>
        <v>http://search.ebscohost.com/login.asp?profile=web&amp;defaultdb=hpi</v>
      </c>
      <c r="E120" t="str">
        <f>LOWER(IF(orig_e_resources_table!F221=1,TRUE,FALSE))</f>
        <v>true</v>
      </c>
      <c r="F120" t="str">
        <f>LOWER(IF(orig_e_resources_table!I221=1,TRUE,FALSE))</f>
        <v>true</v>
      </c>
      <c r="G120" s="4"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I120" s="5" t="s">
        <v>1233</v>
      </c>
      <c r="J120" s="5" t="s">
        <v>1201</v>
      </c>
    </row>
    <row r="121" spans="1:10" ht="45" x14ac:dyDescent="0.25">
      <c r="A121">
        <v>100</v>
      </c>
      <c r="B121" t="str">
        <f>orig_e_resources_table!B101</f>
        <v>Harper's Weekly</v>
      </c>
      <c r="C121" t="str">
        <f>IF(orig_e_resources_table!C101="","",orig_e_resources_table!C101)</f>
        <v/>
      </c>
      <c r="D121" t="str">
        <f>orig_e_resources_table!D101</f>
        <v>http://app.harpweek.com/</v>
      </c>
      <c r="E121" t="str">
        <f>LOWER(IF(orig_e_resources_table!F101=1,TRUE,FALSE))</f>
        <v>true</v>
      </c>
      <c r="F121" t="str">
        <f>LOWER(IF(orig_e_resources_table!I101=1,TRUE,FALSE))</f>
        <v>true</v>
      </c>
      <c r="G121" s="4" t="str">
        <f>SUBSTITUTE(SUBSTITUTE(orig_e_resources_table!O101,CHAR(13),""),CHAR(10),"")</f>
        <v>Online archive of issues of Harper's Weekly, one of America's leading 19th-century illustrated newspapers. Access is available from 1857-1912.</v>
      </c>
      <c r="I121" s="5" t="s">
        <v>1254</v>
      </c>
      <c r="J121" s="5" t="s">
        <v>1214</v>
      </c>
    </row>
    <row r="122" spans="1:10" ht="270" x14ac:dyDescent="0.25">
      <c r="A122">
        <v>101</v>
      </c>
      <c r="B122" t="str">
        <f>orig_e_resources_table!B102</f>
        <v>Health and Safety Science Abstracts</v>
      </c>
      <c r="C122" t="str">
        <f>IF(orig_e_resources_table!C102="","",orig_e_resources_table!C102)</f>
        <v/>
      </c>
      <c r="D122" t="str">
        <f>orig_e_resources_table!D102</f>
        <v>http://www.csa.com/htbin/dbrng.cgi?username=paulg&amp;access=paulg20&amp;db=health-safety-set-c</v>
      </c>
      <c r="E122" t="str">
        <f>LOWER(IF(orig_e_resources_table!F102=1,TRUE,FALSE))</f>
        <v>false</v>
      </c>
      <c r="F122" t="str">
        <f>LOWER(IF(orig_e_resources_table!I102=1,TRUE,FALSE))</f>
        <v>true</v>
      </c>
      <c r="G122" s="4"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c r="I122" s="5"/>
      <c r="J122" s="5" t="s">
        <v>1201</v>
      </c>
    </row>
    <row r="123" spans="1:10" ht="90" x14ac:dyDescent="0.25">
      <c r="A123">
        <v>102</v>
      </c>
      <c r="B123" t="str">
        <f>orig_e_resources_table!B103</f>
        <v>Health Source - Consumer Edition</v>
      </c>
      <c r="C123" t="str">
        <f>IF(orig_e_resources_table!C103="","",orig_e_resources_table!C103)</f>
        <v/>
      </c>
      <c r="D123" t="str">
        <f>orig_e_resources_table!D103</f>
        <v>http://search.EBSCOhost.com/login.asp?profile=web&amp;defaultdb=hxh</v>
      </c>
      <c r="E123" t="str">
        <f>LOWER(IF(orig_e_resources_table!F103=1,TRUE,FALSE))</f>
        <v>true</v>
      </c>
      <c r="F123" t="str">
        <f>LOWER(IF(orig_e_resources_table!I103=1,TRUE,FALSE))</f>
        <v>true</v>
      </c>
      <c r="G123" s="4"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c r="I123" s="5" t="s">
        <v>1232</v>
      </c>
      <c r="J123" s="5" t="s">
        <v>1201</v>
      </c>
    </row>
    <row r="124" spans="1:10" ht="105" x14ac:dyDescent="0.25">
      <c r="A124">
        <v>103</v>
      </c>
      <c r="B124" t="str">
        <f>orig_e_resources_table!B104</f>
        <v>Health Source - Nursing / Academic Edition</v>
      </c>
      <c r="C124" t="str">
        <f>IF(orig_e_resources_table!C104="","",orig_e_resources_table!C104)</f>
        <v/>
      </c>
      <c r="D124" t="str">
        <f>orig_e_resources_table!D104</f>
        <v>http://search.EBSCOhost.com/login.asp?profile=web&amp;defaultdb=hch</v>
      </c>
      <c r="E124" t="str">
        <f>LOWER(IF(orig_e_resources_table!F104=1,TRUE,FALSE))</f>
        <v>true</v>
      </c>
      <c r="F124" t="str">
        <f>LOWER(IF(orig_e_resources_table!I104=1,TRUE,FALSE))</f>
        <v>true</v>
      </c>
      <c r="G124" s="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I124" s="5" t="s">
        <v>1232</v>
      </c>
      <c r="J124" s="5" t="s">
        <v>1201</v>
      </c>
    </row>
    <row r="125" spans="1:10" ht="180" x14ac:dyDescent="0.25">
      <c r="A125">
        <v>225</v>
      </c>
      <c r="B125" t="str">
        <f>orig_e_resources_table!B226</f>
        <v>Historical Statistics of the United States</v>
      </c>
      <c r="C125" t="str">
        <f>IF(orig_e_resources_table!C226="","",orig_e_resources_table!C226)</f>
        <v>NULL</v>
      </c>
      <c r="D125" t="str">
        <f>orig_e_resources_table!D226</f>
        <v>http://hsus.cambridge.org/</v>
      </c>
      <c r="E125" t="str">
        <f>LOWER(IF(orig_e_resources_table!F226=1,TRUE,FALSE))</f>
        <v>true</v>
      </c>
      <c r="F125" t="str">
        <f>LOWER(IF(orig_e_resources_table!I226=1,TRUE,FALSE))</f>
        <v>true</v>
      </c>
      <c r="G125" s="4"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I125" s="5" t="s">
        <v>1267</v>
      </c>
      <c r="J125" s="5" t="s">
        <v>1201</v>
      </c>
    </row>
    <row r="126" spans="1:10" ht="60" x14ac:dyDescent="0.25">
      <c r="A126">
        <v>104</v>
      </c>
      <c r="B126" t="str">
        <f>orig_e_resources_table!B105</f>
        <v>History of Science, Technology, and Medicine</v>
      </c>
      <c r="C126" t="str">
        <f>IF(orig_e_resources_table!C105="","",orig_e_resources_table!C105)</f>
        <v/>
      </c>
      <c r="D126" t="str">
        <f>orig_e_resources_table!D105</f>
        <v>http://search.EBSCOhost.com/login.asp?profile=web&amp;defaultdb=htm</v>
      </c>
      <c r="E126" t="str">
        <f>LOWER(IF(orig_e_resources_table!F105=1,TRUE,FALSE))</f>
        <v>true</v>
      </c>
      <c r="F126" t="str">
        <f>LOWER(IF(orig_e_resources_table!I105=1,TRUE,FALSE))</f>
        <v>true</v>
      </c>
      <c r="G126" s="4" t="str">
        <f>SUBSTITUTE(SUBSTITUTE(orig_e_resources_table!O105,CHAR(13),""),CHAR(10),"")</f>
        <v>This database indexes journal articles, conference proceedings, books, book reviews, and dissertations in the history of science, technology, and medicine and allied historical fields.</v>
      </c>
      <c r="I126" s="5" t="s">
        <v>1268</v>
      </c>
      <c r="J126" s="5" t="s">
        <v>1201</v>
      </c>
    </row>
    <row r="127" spans="1:10" ht="180" x14ac:dyDescent="0.25">
      <c r="A127">
        <v>105</v>
      </c>
      <c r="B127" t="str">
        <f>orig_e_resources_table!B106</f>
        <v>Human Genome Abstracts</v>
      </c>
      <c r="C127" t="str">
        <f>IF(orig_e_resources_table!C106="","",orig_e_resources_table!C106)</f>
        <v/>
      </c>
      <c r="D127" t="str">
        <f>orig_e_resources_table!D106</f>
        <v>http://www.csa.com/htbin/dbrng.cgi?username=paulg&amp;access=paulg20&amp;db=human-genome-set-c</v>
      </c>
      <c r="E127" t="str">
        <f>LOWER(IF(orig_e_resources_table!F106=1,TRUE,FALSE))</f>
        <v>false</v>
      </c>
      <c r="F127" t="str">
        <f>LOWER(IF(orig_e_resources_table!I106=1,TRUE,FALSE))</f>
        <v>true</v>
      </c>
      <c r="G127" s="4"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c r="I127" s="5"/>
      <c r="J127" s="5" t="s">
        <v>1201</v>
      </c>
    </row>
    <row r="128" spans="1:10" ht="180" x14ac:dyDescent="0.25">
      <c r="A128">
        <v>106</v>
      </c>
      <c r="B128" t="str">
        <f>orig_e_resources_table!B107</f>
        <v>Human Population &amp; Natural Resource Management</v>
      </c>
      <c r="C128" t="str">
        <f>IF(orig_e_resources_table!C107="","",orig_e_resources_table!C107)</f>
        <v/>
      </c>
      <c r="D128" t="str">
        <f>orig_e_resources_table!D107</f>
        <v>http://www.csa.com/htbin/dbrng.cgi?username=paulg&amp;access=paulg20&amp;db=humanpop-set-c</v>
      </c>
      <c r="E128" t="str">
        <f>LOWER(IF(orig_e_resources_table!F107=1,TRUE,FALSE))</f>
        <v>false</v>
      </c>
      <c r="F128" t="str">
        <f>LOWER(IF(orig_e_resources_table!I107=1,TRUE,FALSE))</f>
        <v>true</v>
      </c>
      <c r="G128" s="4"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I128" s="5"/>
      <c r="J128" s="5" t="s">
        <v>1201</v>
      </c>
    </row>
    <row r="129" spans="1:10" ht="195" x14ac:dyDescent="0.25">
      <c r="A129">
        <v>229</v>
      </c>
      <c r="B129" t="str">
        <f>orig_e_resources_table!B230</f>
        <v>ICON: International Coalition on Newspapers</v>
      </c>
      <c r="C129" t="str">
        <f>IF(orig_e_resources_table!C230="","",orig_e_resources_table!C230)</f>
        <v/>
      </c>
      <c r="D129" t="str">
        <f>orig_e_resources_table!D230</f>
        <v>http://icon.crl.edu/digitization.htm</v>
      </c>
      <c r="E129" t="str">
        <f>LOWER(IF(orig_e_resources_table!F230=1,TRUE,FALSE))</f>
        <v>true</v>
      </c>
      <c r="F129" t="str">
        <f>LOWER(IF(orig_e_resources_table!I230=1,TRUE,FALSE))</f>
        <v>false</v>
      </c>
      <c r="G129" s="4"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c r="I129" s="5" t="s">
        <v>1269</v>
      </c>
      <c r="J129" s="5" t="s">
        <v>1201</v>
      </c>
    </row>
    <row r="130" spans="1:10" ht="45" x14ac:dyDescent="0.25">
      <c r="A130">
        <v>215</v>
      </c>
      <c r="B130" t="str">
        <f>orig_e_resources_table!B216</f>
        <v>IEEE Standards</v>
      </c>
      <c r="C130" t="str">
        <f>IF(orig_e_resources_table!C216="","",orig_e_resources_table!C216)</f>
        <v>Institute of Electrical and Electronics Engineers</v>
      </c>
      <c r="D130" t="str">
        <f>orig_e_resources_table!D216</f>
        <v>http://ieeexplore.ieee.org/xpl/standards.jsp</v>
      </c>
      <c r="E130" t="str">
        <f>LOWER(IF(orig_e_resources_table!F216=1,TRUE,FALSE))</f>
        <v>true</v>
      </c>
      <c r="F130" t="str">
        <f>LOWER(IF(orig_e_resources_table!I216=1,TRUE,FALSE))</f>
        <v>true</v>
      </c>
      <c r="G130" s="4" t="str">
        <f>SUBSTITUTE(SUBSTITUTE(orig_e_resources_table!O216,CHAR(13),""),CHAR(10),"")</f>
        <v>Online access to standards published by the Institute of Electrical and Electronics Engineers. Search by standard number, keyword, or industry.</v>
      </c>
      <c r="I130" s="5" t="s">
        <v>1238</v>
      </c>
      <c r="J130" s="5" t="s">
        <v>1207</v>
      </c>
    </row>
    <row r="131" spans="1:10" ht="150" x14ac:dyDescent="0.25">
      <c r="A131">
        <v>107</v>
      </c>
      <c r="B131" t="str">
        <f>orig_e_resources_table!B108</f>
        <v>IEEE Xplore</v>
      </c>
      <c r="C131" t="str">
        <f>IF(orig_e_resources_table!C108="","",orig_e_resources_table!C108)</f>
        <v>Institute of Electrical and Electronics Engineers</v>
      </c>
      <c r="D131" t="str">
        <f>orig_e_resources_table!D108</f>
        <v>http://ieeexplore.ieee.org/</v>
      </c>
      <c r="E131" t="str">
        <f>LOWER(IF(orig_e_resources_table!F108=1,TRUE,FALSE))</f>
        <v>true</v>
      </c>
      <c r="F131" t="str">
        <f>LOWER(IF(orig_e_resources_table!I108=1,TRUE,FALSE))</f>
        <v>true</v>
      </c>
      <c r="G131" s="4"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I131" s="5" t="s">
        <v>1238</v>
      </c>
      <c r="J131" s="5" t="s">
        <v>1217</v>
      </c>
    </row>
    <row r="132" spans="1:10" ht="90" x14ac:dyDescent="0.25">
      <c r="A132">
        <v>248</v>
      </c>
      <c r="B132" t="str">
        <f>orig_e_resources_table!B249</f>
        <v>IIT Digital Repository</v>
      </c>
      <c r="C132" t="str">
        <f>IF(orig_e_resources_table!C249="","",orig_e_resources_table!C249)</f>
        <v>share.iit.edu</v>
      </c>
      <c r="D132" t="str">
        <f>orig_e_resources_table!D249</f>
        <v xml:space="preserve"> http://repository.iit.edu</v>
      </c>
      <c r="E132" t="str">
        <f>LOWER(IF(orig_e_resources_table!F249=1,TRUE,FALSE))</f>
        <v>true</v>
      </c>
      <c r="F132" t="str">
        <f>LOWER(IF(orig_e_resources_table!I249=1,TRUE,FALSE))</f>
        <v>true</v>
      </c>
      <c r="G132" s="4"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I132" s="5" t="s">
        <v>1244</v>
      </c>
      <c r="J132" s="5" t="s">
        <v>1218</v>
      </c>
    </row>
    <row r="133" spans="1:10" ht="75" x14ac:dyDescent="0.25">
      <c r="A133">
        <v>110</v>
      </c>
      <c r="B133" t="str">
        <f>orig_e_resources_table!B111</f>
        <v>IIT Library Catalog</v>
      </c>
      <c r="C133" t="str">
        <f>IF(orig_e_resources_table!C111="","",orig_e_resources_table!C111)</f>
        <v/>
      </c>
      <c r="D133" t="str">
        <f>orig_e_resources_table!D111</f>
        <v>https://vufind.carli.illinois.edu/vf-iit/</v>
      </c>
      <c r="E133" t="str">
        <f>LOWER(IF(orig_e_resources_table!F111=1,TRUE,FALSE))</f>
        <v>true</v>
      </c>
      <c r="F133" t="str">
        <f>LOWER(IF(orig_e_resources_table!I111=1,TRUE,FALSE))</f>
        <v>false</v>
      </c>
      <c r="G133" s="4"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c r="I133" s="5" t="s">
        <v>1244</v>
      </c>
      <c r="J133" s="5" t="s">
        <v>1219</v>
      </c>
    </row>
    <row r="134" spans="1:10" ht="105" x14ac:dyDescent="0.25">
      <c r="A134">
        <v>223</v>
      </c>
      <c r="B134" t="str">
        <f>orig_e_resources_table!B224</f>
        <v>Illinois Natural Resources Geospatial Data Clearinghouse</v>
      </c>
      <c r="C134" t="str">
        <f>IF(orig_e_resources_table!C224="","",orig_e_resources_table!C224)</f>
        <v>NULL</v>
      </c>
      <c r="D134" t="str">
        <f>orig_e_resources_table!D224</f>
        <v>http://www.isgs.uiuc.edu/nsdihome/</v>
      </c>
      <c r="E134" t="str">
        <f>LOWER(IF(orig_e_resources_table!F224=1,TRUE,FALSE))</f>
        <v>true</v>
      </c>
      <c r="F134" t="str">
        <f>LOWER(IF(orig_e_resources_table!I224=1,TRUE,FALSE))</f>
        <v>false</v>
      </c>
      <c r="G134" s="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c r="I134" s="5" t="s">
        <v>1239</v>
      </c>
      <c r="J134" s="5" t="s">
        <v>1201</v>
      </c>
    </row>
    <row r="135" spans="1:10" ht="90" x14ac:dyDescent="0.25">
      <c r="A135">
        <v>111</v>
      </c>
      <c r="B135" t="str">
        <f>orig_e_resources_table!B112</f>
        <v>Immunology Abstracts</v>
      </c>
      <c r="C135" t="str">
        <f>IF(orig_e_resources_table!C112="","",orig_e_resources_table!C112)</f>
        <v/>
      </c>
      <c r="D135" t="str">
        <f>orig_e_resources_table!D112</f>
        <v>http://www.csa.com/htbin/dbrng.cgi?username=paulg&amp;access=paulg20&amp;db=immunology-set-c</v>
      </c>
      <c r="E135" t="str">
        <f>LOWER(IF(orig_e_resources_table!F112=1,TRUE,FALSE))</f>
        <v>false</v>
      </c>
      <c r="F135" t="str">
        <f>LOWER(IF(orig_e_resources_table!I112=1,TRUE,FALSE))</f>
        <v>true</v>
      </c>
      <c r="G135" s="4"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I135" s="5"/>
      <c r="J135" s="5" t="s">
        <v>1201</v>
      </c>
    </row>
    <row r="136" spans="1:10" ht="135" x14ac:dyDescent="0.25">
      <c r="A136">
        <v>112</v>
      </c>
      <c r="B136" t="str">
        <f>orig_e_resources_table!B113</f>
        <v>Industrial and Applied Microbiology Abstracts (Microbiology A)</v>
      </c>
      <c r="C136" t="str">
        <f>IF(orig_e_resources_table!C113="","",orig_e_resources_table!C113)</f>
        <v/>
      </c>
      <c r="D136" t="str">
        <f>orig_e_resources_table!D113</f>
        <v>http://www.csa.com/htbin/dbrng.cgi?username=paulg&amp;access=paulg20&amp;db=microbiology-a-set-c</v>
      </c>
      <c r="E136" t="str">
        <f>LOWER(IF(orig_e_resources_table!F113=1,TRUE,FALSE))</f>
        <v>false</v>
      </c>
      <c r="F136" t="str">
        <f>LOWER(IF(orig_e_resources_table!I113=1,TRUE,FALSE))</f>
        <v>true</v>
      </c>
      <c r="G136" s="4"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I136" s="5"/>
      <c r="J136" s="5" t="s">
        <v>1201</v>
      </c>
    </row>
    <row r="137" spans="1:10" ht="210" x14ac:dyDescent="0.25">
      <c r="A137">
        <v>113</v>
      </c>
      <c r="B137" t="str">
        <f>orig_e_resources_table!B114</f>
        <v>Information Bridge</v>
      </c>
      <c r="C137" t="str">
        <f>IF(orig_e_resources_table!C114="","",orig_e_resources_table!C114)</f>
        <v/>
      </c>
      <c r="D137" t="str">
        <f>orig_e_resources_table!D114</f>
        <v>http://www.osti.gov/bridge/index.jsp</v>
      </c>
      <c r="E137" t="str">
        <f>LOWER(IF(orig_e_resources_table!F114=1,TRUE,FALSE))</f>
        <v>true</v>
      </c>
      <c r="F137" t="str">
        <f>LOWER(IF(orig_e_resources_table!I114=1,TRUE,FALSE))</f>
        <v>false</v>
      </c>
      <c r="G137" s="4"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I137" s="5" t="s">
        <v>1270</v>
      </c>
      <c r="J137" s="5" t="s">
        <v>1201</v>
      </c>
    </row>
    <row r="138" spans="1:10" ht="75" x14ac:dyDescent="0.25">
      <c r="A138">
        <v>114</v>
      </c>
      <c r="B138" t="str">
        <f>orig_e_resources_table!B115</f>
        <v>Information Please Almanac</v>
      </c>
      <c r="C138" t="str">
        <f>IF(orig_e_resources_table!C115="","",orig_e_resources_table!C115)</f>
        <v/>
      </c>
      <c r="D138" t="str">
        <f>orig_e_resources_table!D115</f>
        <v>http://www.infoplease.com/</v>
      </c>
      <c r="E138" t="str">
        <f>LOWER(IF(orig_e_resources_table!F115=1,TRUE,FALSE))</f>
        <v>true</v>
      </c>
      <c r="F138" t="str">
        <f>LOWER(IF(orig_e_resources_table!I115=1,TRUE,FALSE))</f>
        <v>false</v>
      </c>
      <c r="G138" s="4"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c r="I138" s="5" t="s">
        <v>1254</v>
      </c>
      <c r="J138" s="5" t="s">
        <v>1201</v>
      </c>
    </row>
    <row r="139" spans="1:10" x14ac:dyDescent="0.25">
      <c r="A139">
        <v>115</v>
      </c>
      <c r="B139" t="str">
        <f>orig_e_resources_table!B116</f>
        <v>Infotrac</v>
      </c>
      <c r="C139" t="str">
        <f>IF(orig_e_resources_table!C116="","",orig_e_resources_table!C116)</f>
        <v/>
      </c>
      <c r="D139" t="str">
        <f>orig_e_resources_table!D116</f>
        <v>http://infotrac.galegroup.com/itweb/chic40381</v>
      </c>
      <c r="E139" t="str">
        <f>LOWER(IF(orig_e_resources_table!F116=1,TRUE,FALSE))</f>
        <v>false</v>
      </c>
      <c r="F139" t="str">
        <f>LOWER(IF(orig_e_resources_table!I116=1,TRUE,FALSE))</f>
        <v>true</v>
      </c>
      <c r="G139" s="4" t="str">
        <f>SUBSTITUTE(SUBSTITUTE(orig_e_resources_table!O116,CHAR(13),""),CHAR(10),"")</f>
        <v/>
      </c>
      <c r="I139" s="5"/>
      <c r="J139" s="5" t="s">
        <v>1201</v>
      </c>
    </row>
    <row r="140" spans="1:10" ht="195" x14ac:dyDescent="0.25">
      <c r="A140">
        <v>116</v>
      </c>
      <c r="B140" t="str">
        <f>orig_e_resources_table!B117</f>
        <v>Inspec</v>
      </c>
      <c r="C140" t="str">
        <f>IF(orig_e_resources_table!C117="","",orig_e_resources_table!C117)</f>
        <v/>
      </c>
      <c r="D140" t="str">
        <f>orig_e_resources_table!D117</f>
        <v>http://apps.webofknowledge.com/INSPEC_GeneralSearch_input.do?product=INSPEC&amp;search_mode=GeneralSearch</v>
      </c>
      <c r="E140" t="str">
        <f>LOWER(IF(orig_e_resources_table!F117=1,TRUE,FALSE))</f>
        <v>true</v>
      </c>
      <c r="F140" t="str">
        <f>LOWER(IF(orig_e_resources_table!I117=1,TRUE,FALSE))</f>
        <v>true</v>
      </c>
      <c r="G140" s="4"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I140" s="5" t="s">
        <v>1270</v>
      </c>
      <c r="J140" s="5" t="s">
        <v>1201</v>
      </c>
    </row>
    <row r="141" spans="1:10" ht="90" x14ac:dyDescent="0.25">
      <c r="A141">
        <v>117</v>
      </c>
      <c r="B141" t="str">
        <f>orig_e_resources_table!B118</f>
        <v>Internet Public Library Online</v>
      </c>
      <c r="C141" t="str">
        <f>IF(orig_e_resources_table!C118="","",orig_e_resources_table!C118)</f>
        <v/>
      </c>
      <c r="D141" t="str">
        <f>orig_e_resources_table!D118</f>
        <v>http://www.ipl.org/div/subject/browse/hum60.60.00/</v>
      </c>
      <c r="E141" t="str">
        <f>LOWER(IF(orig_e_resources_table!F118=1,TRUE,FALSE))</f>
        <v>true</v>
      </c>
      <c r="F141" t="str">
        <f>LOWER(IF(orig_e_resources_table!I118=1,TRUE,FALSE))</f>
        <v>false</v>
      </c>
      <c r="G141" s="4"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c r="I141" s="5" t="s">
        <v>1244</v>
      </c>
      <c r="J141" s="5" t="s">
        <v>1220</v>
      </c>
    </row>
    <row r="142" spans="1:10" x14ac:dyDescent="0.25">
      <c r="A142">
        <v>118</v>
      </c>
      <c r="B142" t="str">
        <f>orig_e_resources_table!B119</f>
        <v>Investext</v>
      </c>
      <c r="C142" t="str">
        <f>IF(orig_e_resources_table!C119="","",orig_e_resources_table!C119)</f>
        <v/>
      </c>
      <c r="D142" t="str">
        <f>orig_e_resources_table!D119</f>
        <v>http://infotrac.galegroup.com/itw/infomark/0/1/1/purl=rc6_RBW?sw_aep=chic40381</v>
      </c>
      <c r="E142" t="str">
        <f>LOWER(IF(orig_e_resources_table!F119=1,TRUE,FALSE))</f>
        <v>false</v>
      </c>
      <c r="F142" t="str">
        <f>LOWER(IF(orig_e_resources_table!I119=1,TRUE,FALSE))</f>
        <v>true</v>
      </c>
      <c r="G142" s="4" t="str">
        <f>SUBSTITUTE(SUBSTITUTE(orig_e_resources_table!O119,CHAR(13),""),CHAR(10),"")</f>
        <v/>
      </c>
      <c r="I142" s="5"/>
      <c r="J142" s="5" t="s">
        <v>1201</v>
      </c>
    </row>
    <row r="143" spans="1:10" ht="120" x14ac:dyDescent="0.25">
      <c r="A143">
        <v>119</v>
      </c>
      <c r="B143" t="str">
        <f>orig_e_resources_table!B120</f>
        <v>IOP</v>
      </c>
      <c r="C143" t="str">
        <f>IF(orig_e_resources_table!C120="","",orig_e_resources_table!C120)</f>
        <v>Institute of Physics Journals</v>
      </c>
      <c r="D143" t="str">
        <f>orig_e_resources_table!D120</f>
        <v>http://iopscience.iop.org</v>
      </c>
      <c r="E143" t="str">
        <f>LOWER(IF(orig_e_resources_table!F120=1,TRUE,FALSE))</f>
        <v>true</v>
      </c>
      <c r="F143" t="str">
        <f>LOWER(IF(orig_e_resources_table!I120=1,TRUE,FALSE))</f>
        <v>true</v>
      </c>
      <c r="G143" s="4"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I143" s="5" t="s">
        <v>1200</v>
      </c>
      <c r="J143" s="5" t="s">
        <v>1201</v>
      </c>
    </row>
    <row r="144" spans="1:10" ht="105" x14ac:dyDescent="0.25">
      <c r="A144">
        <v>108</v>
      </c>
      <c r="B144" t="str">
        <f>orig_e_resources_table!B109</f>
        <v>I-Share Catalog</v>
      </c>
      <c r="C144" t="str">
        <f>IF(orig_e_resources_table!C109="","",orig_e_resources_table!C109)</f>
        <v/>
      </c>
      <c r="D144" t="str">
        <f>orig_e_resources_table!D109</f>
        <v>http://vufind.carli.illinois.edu/vf/</v>
      </c>
      <c r="E144" t="str">
        <f>LOWER(IF(orig_e_resources_table!F109=1,TRUE,FALSE))</f>
        <v>true</v>
      </c>
      <c r="F144" t="str">
        <f>LOWER(IF(orig_e_resources_table!I109=1,TRUE,FALSE))</f>
        <v>false</v>
      </c>
      <c r="G144" s="4"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I144" s="5" t="s">
        <v>1244</v>
      </c>
      <c r="J144" s="5" t="s">
        <v>1213</v>
      </c>
    </row>
    <row r="145" spans="1:10" ht="225" x14ac:dyDescent="0.25">
      <c r="A145">
        <v>121</v>
      </c>
      <c r="B145" t="str">
        <f>orig_e_resources_table!B122</f>
        <v>JSTOR</v>
      </c>
      <c r="C145" t="str">
        <f>IF(orig_e_resources_table!C122="","",orig_e_resources_table!C122)</f>
        <v/>
      </c>
      <c r="D145" t="str">
        <f>orig_e_resources_table!D122</f>
        <v>http://www.jstor.org</v>
      </c>
      <c r="E145" t="str">
        <f>LOWER(IF(orig_e_resources_table!F122=1,TRUE,FALSE))</f>
        <v>true</v>
      </c>
      <c r="F145" t="str">
        <f>LOWER(IF(orig_e_resources_table!I122=1,TRUE,FALSE))</f>
        <v>true</v>
      </c>
      <c r="G145" s="4"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I145" s="5" t="s">
        <v>1250</v>
      </c>
      <c r="J145" s="5" t="s">
        <v>1201</v>
      </c>
    </row>
    <row r="146" spans="1:10" ht="60" x14ac:dyDescent="0.25">
      <c r="A146">
        <v>249</v>
      </c>
      <c r="B146" t="str">
        <f>orig_e_resources_table!B250</f>
        <v>Legal Resources</v>
      </c>
      <c r="C146" t="str">
        <f>IF(orig_e_resources_table!C250="","",orig_e_resources_table!C250)</f>
        <v>NULL</v>
      </c>
      <c r="D146" t="str">
        <f>orig_e_resources_table!D250</f>
        <v>http://kentlaw.iit.edu/library</v>
      </c>
      <c r="E146" t="str">
        <f>LOWER(IF(orig_e_resources_table!F250=1,TRUE,FALSE))</f>
        <v>true</v>
      </c>
      <c r="F146" t="str">
        <f>LOWER(IF(orig_e_resources_table!I250=1,TRUE,FALSE))</f>
        <v>false</v>
      </c>
      <c r="G146" s="4" t="str">
        <f>SUBSTITUTE(SUBSTITUTE(orig_e_resources_table!O250,CHAR(13),""),CHAR(10),"")</f>
        <v xml:space="preserve">IIT's Kent College of Law provides access to Westlaw, HeinOnline, and other legal resources through the Downtown Campus Library. Law students should access these resources there. </v>
      </c>
      <c r="I146" s="5" t="s">
        <v>1271</v>
      </c>
      <c r="J146" s="5"/>
    </row>
    <row r="147" spans="1:10" ht="195" x14ac:dyDescent="0.25">
      <c r="A147">
        <v>122</v>
      </c>
      <c r="B147" t="str">
        <f>orig_e_resources_table!B123</f>
        <v>LexisNexis Academic Universe</v>
      </c>
      <c r="C147" t="str">
        <f>IF(orig_e_resources_table!C123="","",orig_e_resources_table!C123)</f>
        <v/>
      </c>
      <c r="D147" t="str">
        <f>orig_e_resources_table!D123</f>
        <v>http://www.lexisnexis.com/us/lnacademic</v>
      </c>
      <c r="E147" t="str">
        <f>LOWER(IF(orig_e_resources_table!F123=1,TRUE,FALSE))</f>
        <v>true</v>
      </c>
      <c r="F147" t="str">
        <f>LOWER(IF(orig_e_resources_table!I123=1,TRUE,FALSE))</f>
        <v>true</v>
      </c>
      <c r="G147" s="4"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I147" s="5" t="s">
        <v>1255</v>
      </c>
      <c r="J147" s="5" t="s">
        <v>1201</v>
      </c>
    </row>
    <row r="148" spans="1:10" ht="75" x14ac:dyDescent="0.25">
      <c r="A148">
        <v>123</v>
      </c>
      <c r="B148" t="str">
        <f>orig_e_resources_table!B124</f>
        <v>Liebert Online</v>
      </c>
      <c r="C148" t="str">
        <f>IF(orig_e_resources_table!C124="","",orig_e_resources_table!C124)</f>
        <v/>
      </c>
      <c r="D148" t="str">
        <f>orig_e_resources_table!D124</f>
        <v>http://www.liebertonline.com/</v>
      </c>
      <c r="E148" t="str">
        <f>LOWER(IF(orig_e_resources_table!F124=1,TRUE,FALSE))</f>
        <v>true</v>
      </c>
      <c r="F148" t="str">
        <f>LOWER(IF(orig_e_resources_table!I124=1,TRUE,FALSE))</f>
        <v>true</v>
      </c>
      <c r="G148" s="4"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c r="I148" s="5" t="s">
        <v>1244</v>
      </c>
      <c r="J148" s="5" t="s">
        <v>1201</v>
      </c>
    </row>
    <row r="149" spans="1:10" ht="120" x14ac:dyDescent="0.25">
      <c r="A149">
        <v>124</v>
      </c>
      <c r="B149" t="str">
        <f>orig_e_resources_table!B125</f>
        <v>LISTA</v>
      </c>
      <c r="C149" t="str">
        <f>IF(orig_e_resources_table!C125="","",orig_e_resources_table!C125)</f>
        <v>Library, Information Science &amp;amp; Technology Abstracts</v>
      </c>
      <c r="D149" t="str">
        <f>orig_e_resources_table!D125</f>
        <v>http://search.EBSCOhost.com/login.asp?profile=web&amp;defaultdb=lxh</v>
      </c>
      <c r="E149" t="str">
        <f>LOWER(IF(orig_e_resources_table!F125=1,TRUE,FALSE))</f>
        <v>true</v>
      </c>
      <c r="F149" t="str">
        <f>LOWER(IF(orig_e_resources_table!I125=1,TRUE,FALSE))</f>
        <v>true</v>
      </c>
      <c r="G149" s="4"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I149" s="5" t="s">
        <v>1272</v>
      </c>
      <c r="J149" s="5" t="s">
        <v>1201</v>
      </c>
    </row>
    <row r="150" spans="1:10" ht="195" x14ac:dyDescent="0.25">
      <c r="A150">
        <v>125</v>
      </c>
      <c r="B150" t="str">
        <f>orig_e_resources_table!B126</f>
        <v>MADCAD</v>
      </c>
      <c r="C150" t="str">
        <f>IF(orig_e_resources_table!C126="","",orig_e_resources_table!C126)</f>
        <v/>
      </c>
      <c r="D150" t="str">
        <f>orig_e_resources_table!D126</f>
        <v>http://www.madcad.com/madcad/login.php</v>
      </c>
      <c r="E150" t="str">
        <f>LOWER(IF(orig_e_resources_table!F126=1,TRUE,FALSE))</f>
        <v>true</v>
      </c>
      <c r="F150" t="str">
        <f>LOWER(IF(orig_e_resources_table!I126=1,TRUE,FALSE))</f>
        <v>true</v>
      </c>
      <c r="G150" s="4"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I150" s="5" t="s">
        <v>1246</v>
      </c>
      <c r="J150" s="5" t="s">
        <v>1207</v>
      </c>
    </row>
    <row r="151" spans="1:10" ht="60" x14ac:dyDescent="0.25">
      <c r="A151">
        <v>126</v>
      </c>
      <c r="B151" t="str">
        <f>orig_e_resources_table!B127</f>
        <v>Making of Modern Law: Legal Treatises 1800-1926</v>
      </c>
      <c r="C151" t="str">
        <f>IF(orig_e_resources_table!C127="","",orig_e_resources_table!C127)</f>
        <v/>
      </c>
      <c r="D151" t="str">
        <f>orig_e_resources_table!D127</f>
        <v>http://find.galegroup.com/menu/start?userGroupName=chic40381&amp;prod=MOML</v>
      </c>
      <c r="E151" t="str">
        <f>LOWER(IF(orig_e_resources_table!F127=1,TRUE,FALSE))</f>
        <v>true</v>
      </c>
      <c r="F151" t="str">
        <f>LOWER(IF(orig_e_resources_table!I127=1,TRUE,FALSE))</f>
        <v>true</v>
      </c>
      <c r="G151" s="4" t="str">
        <f>SUBSTITUTE(SUBSTITUTE(orig_e_resources_table!O127,CHAR(13),""),CHAR(10),"")</f>
        <v>Provides digital images on every page of 22,000 legal treatises on U.S. and British law published from 1800 through 1926. Full-text searching on more than 10 million pages is available.</v>
      </c>
      <c r="I151" s="5" t="s">
        <v>1271</v>
      </c>
      <c r="J151" s="5" t="s">
        <v>1201</v>
      </c>
    </row>
    <row r="152" spans="1:10" ht="90" x14ac:dyDescent="0.25">
      <c r="A152">
        <v>246</v>
      </c>
      <c r="B152" t="str">
        <f>orig_e_resources_table!B247</f>
        <v>Mango Languages</v>
      </c>
      <c r="C152" t="str">
        <f>IF(orig_e_resources_table!C247="","",orig_e_resources_table!C247)</f>
        <v>NULL</v>
      </c>
      <c r="D152" t="str">
        <f>orig_e_resources_table!D247</f>
        <v>http://libraries.mangolanguages.com/iit/start</v>
      </c>
      <c r="E152" t="str">
        <f>LOWER(IF(orig_e_resources_table!F247=1,TRUE,FALSE))</f>
        <v>true</v>
      </c>
      <c r="F152" t="str">
        <f>LOWER(IF(orig_e_resources_table!I247=1,TRUE,FALSE))</f>
        <v>true</v>
      </c>
      <c r="G152" s="4"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I152" s="5"/>
      <c r="J152" s="5" t="s">
        <v>1221</v>
      </c>
    </row>
    <row r="153" spans="1:10" ht="75" x14ac:dyDescent="0.25">
      <c r="A153">
        <v>127</v>
      </c>
      <c r="B153" t="str">
        <f>orig_e_resources_table!B128</f>
        <v>MarketResearch.com Academic</v>
      </c>
      <c r="C153" t="str">
        <f>IF(orig_e_resources_table!C128="","",orig_e_resources_table!C128)</f>
        <v/>
      </c>
      <c r="D153" t="str">
        <f>orig_e_resources_table!D128</f>
        <v>http://academic.marketresearch.com/index.asp?prid=920953817</v>
      </c>
      <c r="E153" t="str">
        <f>LOWER(IF(orig_e_resources_table!F128=1,TRUE,FALSE))</f>
        <v>true</v>
      </c>
      <c r="F153" t="str">
        <f>LOWER(IF(orig_e_resources_table!I128=1,TRUE,FALSE))</f>
        <v>true</v>
      </c>
      <c r="G153" s="4" t="str">
        <f>SUBSTITUTE(SUBSTITUTE(orig_e_resources_table!O128,CHAR(13),""),CHAR(10),"")</f>
        <v>Provides market intelligence on consumer demographics, market size and growth trends, industry forces and structure, product trends, competitive environment analysis, and company profiles.</v>
      </c>
      <c r="I153" s="5" t="s">
        <v>1255</v>
      </c>
      <c r="J153" s="5" t="s">
        <v>1201</v>
      </c>
    </row>
    <row r="154" spans="1:10" ht="195" x14ac:dyDescent="0.25">
      <c r="A154">
        <v>128</v>
      </c>
      <c r="B154" t="str">
        <f>orig_e_resources_table!B129</f>
        <v>Materials Business File</v>
      </c>
      <c r="C154" t="str">
        <f>IF(orig_e_resources_table!C129="","",orig_e_resources_table!C129)</f>
        <v/>
      </c>
      <c r="D154" t="str">
        <f>orig_e_resources_table!D129</f>
        <v>http://www.csa.com/htbin/dbrng.cgi?username=paulg&amp;access=paulg20&amp;db=mbf-set-c</v>
      </c>
      <c r="E154" t="str">
        <f>LOWER(IF(orig_e_resources_table!F129=1,TRUE,FALSE))</f>
        <v>false</v>
      </c>
      <c r="F154" t="str">
        <f>LOWER(IF(orig_e_resources_table!I129=1,TRUE,FALSE))</f>
        <v>true</v>
      </c>
      <c r="G154" s="4"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c r="I154" s="5"/>
      <c r="J154" s="5" t="s">
        <v>1201</v>
      </c>
    </row>
    <row r="155" spans="1:10" ht="60" x14ac:dyDescent="0.25">
      <c r="A155">
        <v>129</v>
      </c>
      <c r="B155" t="str">
        <f>orig_e_resources_table!B130</f>
        <v>MathSciNet</v>
      </c>
      <c r="C155" t="str">
        <f>IF(orig_e_resources_table!C130="","",orig_e_resources_table!C130)</f>
        <v/>
      </c>
      <c r="D155" t="str">
        <f>orig_e_resources_table!D130</f>
        <v>http://www.ams.org/mathscinet/search</v>
      </c>
      <c r="E155" t="str">
        <f>LOWER(IF(orig_e_resources_table!F130=1,TRUE,FALSE))</f>
        <v>true</v>
      </c>
      <c r="F155" t="str">
        <f>LOWER(IF(orig_e_resources_table!I130=1,TRUE,FALSE))</f>
        <v>true</v>
      </c>
      <c r="G155" s="4" t="str">
        <f>SUBSTITUTE(SUBSTITUTE(orig_e_resources_table!O130,CHAR(13),""),CHAR(10),"")</f>
        <v>Provided by the American Mathematical Society, MathSciNet is a searchable database of the world's scholarly mathematical literature since 1940, including reviews, abstracts and bibliographic information.</v>
      </c>
      <c r="I155" s="5" t="s">
        <v>1273</v>
      </c>
      <c r="J155" s="5" t="s">
        <v>1201</v>
      </c>
    </row>
    <row r="156" spans="1:10" ht="225" x14ac:dyDescent="0.25">
      <c r="A156">
        <v>130</v>
      </c>
      <c r="B156" t="str">
        <f>orig_e_resources_table!B131</f>
        <v>Mechanical &amp;amp; Transportation Engineering Abstracts</v>
      </c>
      <c r="C156" t="str">
        <f>IF(orig_e_resources_table!C131="","",orig_e_resources_table!C131)</f>
        <v/>
      </c>
      <c r="D156" t="str">
        <f>orig_e_resources_table!D131</f>
        <v>http://www.csa.com/htbin/dbrng.cgi?username=paulg&amp;access=paulg20&amp;db=mechtrans-set-c</v>
      </c>
      <c r="E156" t="str">
        <f>LOWER(IF(orig_e_resources_table!F131=1,TRUE,FALSE))</f>
        <v>false</v>
      </c>
      <c r="F156" t="str">
        <f>LOWER(IF(orig_e_resources_table!I131=1,TRUE,FALSE))</f>
        <v>true</v>
      </c>
      <c r="G156" s="4"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c r="I156" s="5"/>
      <c r="J156" s="5" t="s">
        <v>1201</v>
      </c>
    </row>
    <row r="157" spans="1:10" x14ac:dyDescent="0.25">
      <c r="A157">
        <v>131</v>
      </c>
      <c r="B157" t="str">
        <f>orig_e_resources_table!B132</f>
        <v>Medical and Pharmaceutical Biotechnology Abstracts</v>
      </c>
      <c r="C157" t="str">
        <f>IF(orig_e_resources_table!C132="","",orig_e_resources_table!C132)</f>
        <v/>
      </c>
      <c r="D157" t="str">
        <f>orig_e_resources_table!D132</f>
        <v>http://www.csa.com/htbin/dbrng.cgi?username=paulg&amp;access=paulg20&amp;db=medical-pharmaceutical-set-c</v>
      </c>
      <c r="E157" t="str">
        <f>LOWER(IF(orig_e_resources_table!F132=1,TRUE,FALSE))</f>
        <v>false</v>
      </c>
      <c r="F157" t="str">
        <f>LOWER(IF(orig_e_resources_table!I132=1,TRUE,FALSE))</f>
        <v>true</v>
      </c>
      <c r="G157" s="4" t="str">
        <f>SUBSTITUTE(SUBSTITUTE(orig_e_resources_table!O132,CHAR(13),""),CHAR(10),"")</f>
        <v/>
      </c>
      <c r="I157" s="5"/>
      <c r="J157" s="5" t="s">
        <v>1201</v>
      </c>
    </row>
    <row r="158" spans="1:10" ht="120" x14ac:dyDescent="0.25">
      <c r="A158">
        <v>132</v>
      </c>
      <c r="B158" t="str">
        <f>orig_e_resources_table!B133</f>
        <v>MEDLINE</v>
      </c>
      <c r="C158" t="str">
        <f>IF(orig_e_resources_table!C133="","",orig_e_resources_table!C133)</f>
        <v/>
      </c>
      <c r="D158" t="str">
        <f>orig_e_resources_table!D133</f>
        <v>http://newfirstsearch.oclc.org/dbname=MEDLINE;FSIP</v>
      </c>
      <c r="E158" t="str">
        <f>LOWER(IF(orig_e_resources_table!F133=1,TRUE,FALSE))</f>
        <v>true</v>
      </c>
      <c r="F158" t="str">
        <f>LOWER(IF(orig_e_resources_table!I133=1,TRUE,FALSE))</f>
        <v>true</v>
      </c>
      <c r="G158" s="4"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I158" s="5" t="s">
        <v>1272</v>
      </c>
      <c r="J158" s="5" t="s">
        <v>1201</v>
      </c>
    </row>
    <row r="159" spans="1:10" ht="135" x14ac:dyDescent="0.25">
      <c r="A159">
        <v>133</v>
      </c>
      <c r="B159" t="str">
        <f>orig_e_resources_table!B134</f>
        <v>Medline Plus</v>
      </c>
      <c r="C159" t="str">
        <f>IF(orig_e_resources_table!C134="","",orig_e_resources_table!C134)</f>
        <v/>
      </c>
      <c r="D159" t="str">
        <f>orig_e_resources_table!D134</f>
        <v>http://medlineplus.gov/</v>
      </c>
      <c r="E159" t="str">
        <f>LOWER(IF(orig_e_resources_table!F134=1,TRUE,FALSE))</f>
        <v>true</v>
      </c>
      <c r="F159" t="str">
        <f>LOWER(IF(orig_e_resources_table!I134=1,TRUE,FALSE))</f>
        <v>false</v>
      </c>
      <c r="G159" s="4"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c r="I159" s="5" t="s">
        <v>1272</v>
      </c>
      <c r="J159" s="5" t="s">
        <v>1201</v>
      </c>
    </row>
    <row r="160" spans="1:10" ht="75" x14ac:dyDescent="0.25">
      <c r="A160">
        <v>134</v>
      </c>
      <c r="B160" t="str">
        <f>orig_e_resources_table!B135</f>
        <v>Mental Measurements Yearbook / Tests in Print</v>
      </c>
      <c r="C160" t="str">
        <f>IF(orig_e_resources_table!C135="","",orig_e_resources_table!C135)</f>
        <v/>
      </c>
      <c r="D160" t="str">
        <f>orig_e_resources_table!D135</f>
        <v>http://search.EBSCOhost.com/login.asp?profile=ehost&amp;defaultdb=mmt</v>
      </c>
      <c r="E160" t="str">
        <f>LOWER(IF(orig_e_resources_table!F135=1,TRUE,FALSE))</f>
        <v>true</v>
      </c>
      <c r="F160" t="str">
        <f>LOWER(IF(orig_e_resources_table!I135=1,TRUE,FALSE))</f>
        <v>true</v>
      </c>
      <c r="G160" s="4" t="str">
        <f>SUBSTITUTE(SUBSTITUTE(orig_e_resources_table!O135,CHAR(13),""),CHAR(10),"")</f>
        <v>Mental Measurements Yearbook contains full text information and reviews of all English-language standardized tests covering educational skills, personality, vocational aptitude, psychology, and related areas.</v>
      </c>
      <c r="I160" s="5" t="s">
        <v>1233</v>
      </c>
      <c r="J160" s="5" t="s">
        <v>1201</v>
      </c>
    </row>
    <row r="161" spans="1:10" ht="150" x14ac:dyDescent="0.25">
      <c r="A161">
        <v>240</v>
      </c>
      <c r="B161" t="str">
        <f>orig_e_resources_table!B241</f>
        <v>Mergent Online</v>
      </c>
      <c r="C161" t="str">
        <f>IF(orig_e_resources_table!C241="","",orig_e_resources_table!C241)</f>
        <v>NULL</v>
      </c>
      <c r="D161" t="str">
        <f>orig_e_resources_table!D241</f>
        <v>http://www.mergentonline.com/compsearch.asp</v>
      </c>
      <c r="E161" t="str">
        <f>LOWER(IF(orig_e_resources_table!F241=1,TRUE,FALSE))</f>
        <v>false</v>
      </c>
      <c r="F161" t="str">
        <f>LOWER(IF(orig_e_resources_table!I241=1,TRUE,FALSE))</f>
        <v>true</v>
      </c>
      <c r="G161" s="4"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I161" s="5"/>
      <c r="J161" s="5" t="s">
        <v>1201</v>
      </c>
    </row>
    <row r="162" spans="1:10" x14ac:dyDescent="0.25">
      <c r="A162">
        <v>137</v>
      </c>
      <c r="B162" t="str">
        <f>orig_e_resources_table!B138</f>
        <v>Merriam-Webster OnLine</v>
      </c>
      <c r="C162" t="str">
        <f>IF(orig_e_resources_table!C138="","",orig_e_resources_table!C138)</f>
        <v/>
      </c>
      <c r="D162" t="str">
        <f>orig_e_resources_table!D138</f>
        <v>http://www.m-w.com/</v>
      </c>
      <c r="E162" t="str">
        <f>LOWER(IF(orig_e_resources_table!F138=1,TRUE,FALSE))</f>
        <v>true</v>
      </c>
      <c r="F162" t="str">
        <f>LOWER(IF(orig_e_resources_table!I138=1,TRUE,FALSE))</f>
        <v>false</v>
      </c>
      <c r="G162" s="4" t="str">
        <f>SUBSTITUTE(SUBSTITUTE(orig_e_resources_table!O138,CHAR(13),""),CHAR(10),"")</f>
        <v>Online version of this essential dictionary.</v>
      </c>
      <c r="I162" s="5"/>
      <c r="J162" s="5" t="s">
        <v>1202</v>
      </c>
    </row>
    <row r="163" spans="1:10" ht="165" x14ac:dyDescent="0.25">
      <c r="A163">
        <v>138</v>
      </c>
      <c r="B163" t="str">
        <f>orig_e_resources_table!B139</f>
        <v>METADEX</v>
      </c>
      <c r="C163" t="str">
        <f>IF(orig_e_resources_table!C139="","",orig_e_resources_table!C139)</f>
        <v/>
      </c>
      <c r="D163" t="str">
        <f>orig_e_resources_table!D139</f>
        <v>http://www.csa.com/htbin/dbrng.cgi?username=paulg&amp;access=paulg20&amp;db=metadex-set-c</v>
      </c>
      <c r="E163" t="str">
        <f>LOWER(IF(orig_e_resources_table!F139=1,TRUE,FALSE))</f>
        <v>false</v>
      </c>
      <c r="F163" t="str">
        <f>LOWER(IF(orig_e_resources_table!I139=1,TRUE,FALSE))</f>
        <v>true</v>
      </c>
      <c r="G163" s="4"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c r="I163" s="5"/>
      <c r="J163" s="5" t="s">
        <v>1201</v>
      </c>
    </row>
    <row r="164" spans="1:10" ht="195" x14ac:dyDescent="0.25">
      <c r="A164">
        <v>139</v>
      </c>
      <c r="B164" t="str">
        <f>orig_e_resources_table!B140</f>
        <v>MicroPatent Materials Patents</v>
      </c>
      <c r="C164" t="str">
        <f>IF(orig_e_resources_table!C140="","",orig_e_resources_table!C140)</f>
        <v/>
      </c>
      <c r="D164" t="str">
        <f>orig_e_resources_table!D140</f>
        <v>http://www.csa.com/htbin/dbrng.cgi?username=paulg&amp;access=paulg20&amp;db=micropatent-set-c</v>
      </c>
      <c r="E164" t="str">
        <f>LOWER(IF(orig_e_resources_table!F140=1,TRUE,FALSE))</f>
        <v>false</v>
      </c>
      <c r="F164" t="str">
        <f>LOWER(IF(orig_e_resources_table!I140=1,TRUE,FALSE))</f>
        <v>true</v>
      </c>
      <c r="G164" s="4"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c r="I164" s="5"/>
      <c r="J164" s="5" t="s">
        <v>1201</v>
      </c>
    </row>
    <row r="165" spans="1:10" ht="120" x14ac:dyDescent="0.25">
      <c r="A165">
        <v>140</v>
      </c>
      <c r="B165" t="str">
        <f>orig_e_resources_table!B141</f>
        <v>Military &amp;amp; Government Collection</v>
      </c>
      <c r="C165" t="str">
        <f>IF(orig_e_resources_table!C141="","",orig_e_resources_table!C141)</f>
        <v/>
      </c>
      <c r="D165" t="str">
        <f>orig_e_resources_table!D141</f>
        <v>http://search.EBSCOhost.com/login.asp?profile=web&amp;defaultdb=mth</v>
      </c>
      <c r="E165" t="str">
        <f>LOWER(IF(orig_e_resources_table!F141=1,TRUE,FALSE))</f>
        <v>true</v>
      </c>
      <c r="F165" t="str">
        <f>LOWER(IF(orig_e_resources_table!I141=1,TRUE,FALSE))</f>
        <v>true</v>
      </c>
      <c r="G165" s="4"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I165" s="5" t="s">
        <v>1274</v>
      </c>
      <c r="J165" s="5" t="s">
        <v>1201</v>
      </c>
    </row>
    <row r="166" spans="1:10" ht="225" x14ac:dyDescent="0.25">
      <c r="A166">
        <v>141</v>
      </c>
      <c r="B166" t="str">
        <f>orig_e_resources_table!B142</f>
        <v>NanoEthicsBank</v>
      </c>
      <c r="C166" t="str">
        <f>IF(orig_e_resources_table!C142="","",orig_e_resources_table!C142)</f>
        <v/>
      </c>
      <c r="D166" t="str">
        <f>orig_e_resources_table!D142</f>
        <v>http://ethics.iit.edu/NanoEthicsBank/</v>
      </c>
      <c r="E166" t="str">
        <f>LOWER(IF(orig_e_resources_table!F142=1,TRUE,FALSE))</f>
        <v>true</v>
      </c>
      <c r="F166" t="str">
        <f>LOWER(IF(orig_e_resources_table!I142=1,TRUE,FALSE))</f>
        <v>false</v>
      </c>
      <c r="G166" s="4"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I166" s="5" t="s">
        <v>1270</v>
      </c>
      <c r="J166" s="5" t="s">
        <v>1201</v>
      </c>
    </row>
    <row r="167" spans="1:10" ht="225" x14ac:dyDescent="0.25">
      <c r="A167">
        <v>142</v>
      </c>
      <c r="B167" t="str">
        <f>orig_e_resources_table!B143</f>
        <v>NASA Technical Reports Server</v>
      </c>
      <c r="C167" t="str">
        <f>IF(orig_e_resources_table!C143="","",orig_e_resources_table!C143)</f>
        <v>NTRS</v>
      </c>
      <c r="D167" t="str">
        <f>orig_e_resources_table!D143</f>
        <v>http://ntrs.nasa.gov/search.jsp</v>
      </c>
      <c r="E167" t="str">
        <f>LOWER(IF(orig_e_resources_table!F143=1,TRUE,FALSE))</f>
        <v>true</v>
      </c>
      <c r="F167" t="str">
        <f>LOWER(IF(orig_e_resources_table!I143=1,TRUE,FALSE))</f>
        <v>false</v>
      </c>
      <c r="G167" s="4"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c r="I167" s="5" t="s">
        <v>1230</v>
      </c>
      <c r="J167" s="5" t="s">
        <v>1222</v>
      </c>
    </row>
    <row r="168" spans="1:10" ht="90" x14ac:dyDescent="0.25">
      <c r="A168">
        <v>253</v>
      </c>
      <c r="B168" t="str">
        <f>orig_e_resources_table!B254</f>
        <v>National Academies Press</v>
      </c>
      <c r="C168" t="str">
        <f>IF(orig_e_resources_table!C254="","",orig_e_resources_table!C254)</f>
        <v>NULL</v>
      </c>
      <c r="D168" t="str">
        <f>orig_e_resources_table!D254</f>
        <v>http://www.nap.edu/</v>
      </c>
      <c r="E168" t="str">
        <f>LOWER(IF(orig_e_resources_table!F254=1,TRUE,FALSE))</f>
        <v>true</v>
      </c>
      <c r="F168" t="str">
        <f>LOWER(IF(orig_e_resources_table!I254=1,TRUE,FALSE))</f>
        <v>false</v>
      </c>
      <c r="G168" s="4"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I168" s="5" t="s">
        <v>1272</v>
      </c>
      <c r="J168" s="5" t="s">
        <v>1201</v>
      </c>
    </row>
    <row r="169" spans="1:10" ht="30" x14ac:dyDescent="0.25">
      <c r="A169">
        <v>212</v>
      </c>
      <c r="B169" t="str">
        <f>orig_e_resources_table!B213</f>
        <v>National Geographic MapMachine</v>
      </c>
      <c r="C169" t="str">
        <f>IF(orig_e_resources_table!C213="","",orig_e_resources_table!C213)</f>
        <v>NULL</v>
      </c>
      <c r="D169" t="str">
        <f>orig_e_resources_table!D213</f>
        <v>http://plasma.nationalgeographic.com/mapmachine/index.html</v>
      </c>
      <c r="E169" t="str">
        <f>LOWER(IF(orig_e_resources_table!F213=1,TRUE,FALSE))</f>
        <v>true</v>
      </c>
      <c r="F169" t="str">
        <f>LOWER(IF(orig_e_resources_table!I213=1,TRUE,FALSE))</f>
        <v>false</v>
      </c>
      <c r="G169" s="4" t="str">
        <f>SUBSTITUTE(SUBSTITUTE(orig_e_resources_table!O213,CHAR(13),""),CHAR(10),"")</f>
        <v>Satellite photos, street maps, and more are available in this online atlas.</v>
      </c>
      <c r="I169" s="5" t="s">
        <v>1239</v>
      </c>
      <c r="J169" s="5" t="s">
        <v>1201</v>
      </c>
    </row>
    <row r="170" spans="1:10" ht="75" x14ac:dyDescent="0.25">
      <c r="A170">
        <v>238</v>
      </c>
      <c r="B170" t="str">
        <f>orig_e_resources_table!B239</f>
        <v>National Map Viewer</v>
      </c>
      <c r="C170" t="str">
        <f>IF(orig_e_resources_table!C239="","",orig_e_resources_table!C239)</f>
        <v>NULL</v>
      </c>
      <c r="D170" t="str">
        <f>orig_e_resources_table!D239</f>
        <v>http://nmviewogc.cr.usgs.gov/</v>
      </c>
      <c r="E170" t="str">
        <f>LOWER(IF(orig_e_resources_table!F239=1,TRUE,FALSE))</f>
        <v>true</v>
      </c>
      <c r="F170" t="str">
        <f>LOWER(IF(orig_e_resources_table!I239=1,TRUE,FALSE))</f>
        <v>false</v>
      </c>
      <c r="G170" s="4"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c r="I170" s="5" t="s">
        <v>1239</v>
      </c>
      <c r="J170" s="5" t="s">
        <v>1223</v>
      </c>
    </row>
    <row r="171" spans="1:10" ht="60" x14ac:dyDescent="0.25">
      <c r="A171">
        <v>143</v>
      </c>
      <c r="B171" t="str">
        <f>orig_e_resources_table!B144</f>
        <v>NBER</v>
      </c>
      <c r="C171" t="str">
        <f>IF(orig_e_resources_table!C144="","",orig_e_resources_table!C144)</f>
        <v>National Bureau of Economic Research Working Papers</v>
      </c>
      <c r="D171" t="str">
        <f>orig_e_resources_table!D144</f>
        <v>http://papers.nber.org/</v>
      </c>
      <c r="E171" t="str">
        <f>LOWER(IF(orig_e_resources_table!F144=1,TRUE,FALSE))</f>
        <v>true</v>
      </c>
      <c r="F171" t="str">
        <f>LOWER(IF(orig_e_resources_table!I144=1,TRUE,FALSE))</f>
        <v>true</v>
      </c>
      <c r="G171" s="4" t="str">
        <f>SUBSTITUTE(SUBSTITUTE(orig_e_resources_table!O144,CHAR(13),""),CHAR(10),"")</f>
        <v>Database of reports, papers, and other publications produced by the National Bureau of Economic Research -- a private, nonprofit, nonpartisan research organization.</v>
      </c>
      <c r="I171" s="5" t="s">
        <v>1275</v>
      </c>
      <c r="J171" s="5" t="s">
        <v>1201</v>
      </c>
    </row>
    <row r="172" spans="1:10" ht="90" x14ac:dyDescent="0.25">
      <c r="A172">
        <v>146</v>
      </c>
      <c r="B172" t="str">
        <f>orig_e_resources_table!B147</f>
        <v>NewsBank - America's Newspapers</v>
      </c>
      <c r="C172" t="str">
        <f>IF(orig_e_resources_table!C147="","",orig_e_resources_table!C147)</f>
        <v/>
      </c>
      <c r="D172" t="str">
        <f>orig_e_resources_table!D147</f>
        <v>http://infoweb.newsbank.com</v>
      </c>
      <c r="E172" t="str">
        <f>LOWER(IF(orig_e_resources_table!F147=1,TRUE,FALSE))</f>
        <v>false</v>
      </c>
      <c r="F172" t="str">
        <f>LOWER(IF(orig_e_resources_table!I147=1,TRUE,FALSE))</f>
        <v>true</v>
      </c>
      <c r="G172" s="4"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c r="I172" s="5"/>
      <c r="J172" s="5" t="s">
        <v>1214</v>
      </c>
    </row>
    <row r="173" spans="1:10" ht="165" x14ac:dyDescent="0.25">
      <c r="A173">
        <v>147</v>
      </c>
      <c r="B173" t="str">
        <f>orig_e_resources_table!B148</f>
        <v>Newspaper Source</v>
      </c>
      <c r="C173" t="str">
        <f>IF(orig_e_resources_table!C148="","",orig_e_resources_table!C148)</f>
        <v/>
      </c>
      <c r="D173" t="str">
        <f>orig_e_resources_table!D148</f>
        <v>http://search.EBSCOhost.com/login.asp?profile=web&amp;defaultdb=nfh</v>
      </c>
      <c r="E173" t="str">
        <f>LOWER(IF(orig_e_resources_table!F148=1,TRUE,FALSE))</f>
        <v>true</v>
      </c>
      <c r="F173" t="str">
        <f>LOWER(IF(orig_e_resources_table!I148=1,TRUE,FALSE))</f>
        <v>true</v>
      </c>
      <c r="G173" s="4"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I173" s="5" t="s">
        <v>1276</v>
      </c>
      <c r="J173" s="5" t="s">
        <v>1214</v>
      </c>
    </row>
    <row r="174" spans="1:10" ht="180" x14ac:dyDescent="0.25">
      <c r="A174">
        <v>237</v>
      </c>
      <c r="B174" t="str">
        <f>orig_e_resources_table!B238</f>
        <v>NSSN.org</v>
      </c>
      <c r="C174" t="str">
        <f>IF(orig_e_resources_table!C238="","",orig_e_resources_table!C238)</f>
        <v>National Resource for Global Standards</v>
      </c>
      <c r="D174" t="str">
        <f>orig_e_resources_table!D238</f>
        <v>http://www.nssn.org</v>
      </c>
      <c r="E174" t="str">
        <f>LOWER(IF(orig_e_resources_table!F238=1,TRUE,FALSE))</f>
        <v>true</v>
      </c>
      <c r="F174" t="str">
        <f>LOWER(IF(orig_e_resources_table!I238=1,TRUE,FALSE))</f>
        <v>false</v>
      </c>
      <c r="G174" s="4"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c r="I174" s="5" t="s">
        <v>1238</v>
      </c>
      <c r="J174" s="5" t="s">
        <v>1207</v>
      </c>
    </row>
    <row r="175" spans="1:10" ht="150" x14ac:dyDescent="0.25">
      <c r="A175">
        <v>148</v>
      </c>
      <c r="B175" t="str">
        <f>orig_e_resources_table!B149</f>
        <v>NTIS</v>
      </c>
      <c r="C175" t="str">
        <f>IF(orig_e_resources_table!C149="","",orig_e_resources_table!C149)</f>
        <v>National Technical Information Service</v>
      </c>
      <c r="D175" t="str">
        <f>orig_e_resources_table!D149</f>
        <v>http://www.ntis.gov/search/index.aspx</v>
      </c>
      <c r="E175" t="str">
        <f>LOWER(IF(orig_e_resources_table!F149=1,TRUE,FALSE))</f>
        <v>true</v>
      </c>
      <c r="F175" t="str">
        <f>LOWER(IF(orig_e_resources_table!I149=1,TRUE,FALSE))</f>
        <v>false</v>
      </c>
      <c r="G175" s="4"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I175" s="5" t="s">
        <v>1265</v>
      </c>
      <c r="J175" s="5" t="s">
        <v>1201</v>
      </c>
    </row>
    <row r="176" spans="1:10" ht="210" x14ac:dyDescent="0.25">
      <c r="A176">
        <v>149</v>
      </c>
      <c r="B176" t="str">
        <f>orig_e_resources_table!B150</f>
        <v>Nucleic Acids Abstracts</v>
      </c>
      <c r="C176" t="str">
        <f>IF(orig_e_resources_table!C150="","",orig_e_resources_table!C150)</f>
        <v/>
      </c>
      <c r="D176" t="str">
        <f>orig_e_resources_table!D150</f>
        <v>http://www.csa.com/htbin/dbrng.cgi?username=paulg&amp;access=paulg20&amp;db=nucleic-acids-set-c</v>
      </c>
      <c r="E176" t="str">
        <f>LOWER(IF(orig_e_resources_table!F150=1,TRUE,FALSE))</f>
        <v>false</v>
      </c>
      <c r="F176" t="str">
        <f>LOWER(IF(orig_e_resources_table!I150=1,TRUE,FALSE))</f>
        <v>true</v>
      </c>
      <c r="G176" s="4"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c r="I176" s="5"/>
      <c r="J176" s="5" t="s">
        <v>1201</v>
      </c>
    </row>
    <row r="177" spans="1:10" ht="90" x14ac:dyDescent="0.25">
      <c r="A177">
        <v>145</v>
      </c>
      <c r="B177" t="str">
        <f>orig_e_resources_table!B146</f>
        <v>NYPL Digital Gallery</v>
      </c>
      <c r="C177" t="str">
        <f>IF(orig_e_resources_table!C146="","",orig_e_resources_table!C146)</f>
        <v/>
      </c>
      <c r="D177" t="str">
        <f>orig_e_resources_table!D146</f>
        <v>http://digitalgallery.nypl.org/nypldigital/index.cfm</v>
      </c>
      <c r="E177" t="str">
        <f>LOWER(IF(orig_e_resources_table!F146=1,TRUE,FALSE))</f>
        <v>true</v>
      </c>
      <c r="F177" t="str">
        <f>LOWER(IF(orig_e_resources_table!I146=1,TRUE,FALSE))</f>
        <v>false</v>
      </c>
      <c r="G177" s="4"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I177" s="5" t="s">
        <v>1250</v>
      </c>
      <c r="J177" s="5" t="s">
        <v>1224</v>
      </c>
    </row>
    <row r="178" spans="1:10" ht="90" x14ac:dyDescent="0.25">
      <c r="A178">
        <v>234</v>
      </c>
      <c r="B178" t="str">
        <f>orig_e_resources_table!B235</f>
        <v>OAIster</v>
      </c>
      <c r="C178" t="str">
        <f>IF(orig_e_resources_table!C235="","",orig_e_resources_table!C235)</f>
        <v>NULL</v>
      </c>
      <c r="D178" t="str">
        <f>orig_e_resources_table!D235</f>
        <v>http://www.oaister.worldcat.org/</v>
      </c>
      <c r="E178" t="str">
        <f>LOWER(IF(orig_e_resources_table!F235=1,TRUE,FALSE))</f>
        <v>true</v>
      </c>
      <c r="F178" t="str">
        <f>LOWER(IF(orig_e_resources_table!I235=1,TRUE,FALSE))</f>
        <v>false</v>
      </c>
      <c r="G178" s="4"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c r="I178" s="5" t="s">
        <v>1250</v>
      </c>
      <c r="J178" s="5" t="s">
        <v>1205</v>
      </c>
    </row>
    <row r="179" spans="1:10" ht="120" x14ac:dyDescent="0.25">
      <c r="A179">
        <v>150</v>
      </c>
      <c r="B179" t="str">
        <f>orig_e_resources_table!B151</f>
        <v>Oncogenes and Growth Factors Abstracts</v>
      </c>
      <c r="C179" t="str">
        <f>IF(orig_e_resources_table!C151="","",orig_e_resources_table!C151)</f>
        <v/>
      </c>
      <c r="D179" t="str">
        <f>orig_e_resources_table!D151</f>
        <v>http://www.csa.com/htbin/dbrng.cgi?username=paulg&amp;access=paulg20&amp;db=oncogenes-set-c</v>
      </c>
      <c r="E179" t="str">
        <f>LOWER(IF(orig_e_resources_table!F151=1,TRUE,FALSE))</f>
        <v>false</v>
      </c>
      <c r="F179" t="str">
        <f>LOWER(IF(orig_e_resources_table!I151=1,TRUE,FALSE))</f>
        <v>true</v>
      </c>
      <c r="G179" s="4"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I179" s="5"/>
      <c r="J179" s="5" t="s">
        <v>1201</v>
      </c>
    </row>
    <row r="180" spans="1:10" ht="60" x14ac:dyDescent="0.25">
      <c r="A180">
        <v>228</v>
      </c>
      <c r="B180" t="str">
        <f>orig_e_resources_table!B229</f>
        <v>Open-Access Text Archive</v>
      </c>
      <c r="C180" t="str">
        <f>IF(orig_e_resources_table!C229="","",orig_e_resources_table!C229)</f>
        <v>NULL</v>
      </c>
      <c r="D180" t="str">
        <f>orig_e_resources_table!D229</f>
        <v>http://www.archive.org/details/texts</v>
      </c>
      <c r="E180" t="str">
        <f>LOWER(IF(orig_e_resources_table!F229=1,TRUE,FALSE))</f>
        <v>true</v>
      </c>
      <c r="F180" t="str">
        <f>LOWER(IF(orig_e_resources_table!I229=1,TRUE,FALSE))</f>
        <v>false</v>
      </c>
      <c r="G180" s="4" t="str">
        <f>SUBSTITUTE(SUBSTITUTE(orig_e_resources_table!O229,CHAR(13),""),CHAR(10),"")</f>
        <v>This site features a wide selection of e-books that have been contributed from publishers, universities, and individuals. Most of the texts are in DJVU or PDF format. Free to read, download, and print.</v>
      </c>
      <c r="I180" s="5"/>
      <c r="J180" s="5" t="s">
        <v>1201</v>
      </c>
    </row>
    <row r="181" spans="1:10" ht="60" x14ac:dyDescent="0.25">
      <c r="A181">
        <v>151</v>
      </c>
      <c r="B181" t="str">
        <f>orig_e_resources_table!B152</f>
        <v>Optics InfoBase</v>
      </c>
      <c r="C181" t="str">
        <f>IF(orig_e_resources_table!C152="","",orig_e_resources_table!C152)</f>
        <v/>
      </c>
      <c r="D181" t="str">
        <f>orig_e_resources_table!D152</f>
        <v>http://www.opticsinfobase.org/default.cfm</v>
      </c>
      <c r="E181" t="str">
        <f>LOWER(IF(orig_e_resources_table!F152=1,TRUE,FALSE))</f>
        <v>true</v>
      </c>
      <c r="F181" t="str">
        <f>LOWER(IF(orig_e_resources_table!I152=1,TRUE,FALSE))</f>
        <v>true</v>
      </c>
      <c r="G181" s="4"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c r="I181" s="5" t="s">
        <v>1262</v>
      </c>
      <c r="J181" s="5" t="s">
        <v>1201</v>
      </c>
    </row>
    <row r="182" spans="1:10" ht="45" x14ac:dyDescent="0.25">
      <c r="A182">
        <v>153</v>
      </c>
      <c r="B182" t="str">
        <f>orig_e_resources_table!B154</f>
        <v>Oxford English Dictionary</v>
      </c>
      <c r="C182" t="str">
        <f>IF(orig_e_resources_table!C154="","",orig_e_resources_table!C154)</f>
        <v/>
      </c>
      <c r="D182" t="str">
        <f>orig_e_resources_table!D154</f>
        <v>http://www.oed.com/</v>
      </c>
      <c r="E182" t="str">
        <f>LOWER(IF(orig_e_resources_table!F154=1,TRUE,FALSE))</f>
        <v>true</v>
      </c>
      <c r="F182" t="str">
        <f>LOWER(IF(orig_e_resources_table!I154=1,TRUE,FALSE))</f>
        <v>true</v>
      </c>
      <c r="G182" s="4" t="str">
        <f>SUBSTITUTE(SUBSTITUTE(orig_e_resources_table!O154,CHAR(13),""),CHAR(10),"")</f>
        <v xml:space="preserve">Online edition of the definitive dictionary of the English language. Find word definitions, etymology, date charts, and more. </v>
      </c>
      <c r="I182" s="5"/>
      <c r="J182" s="5" t="s">
        <v>1202</v>
      </c>
    </row>
    <row r="183" spans="1:10" ht="165" x14ac:dyDescent="0.25">
      <c r="A183">
        <v>257</v>
      </c>
      <c r="B183" t="str">
        <f>orig_e_resources_table!B258</f>
        <v>Oxford Islamic Studies Online</v>
      </c>
      <c r="C183" t="str">
        <f>IF(orig_e_resources_table!C258="","",orig_e_resources_table!C258)</f>
        <v>NULL</v>
      </c>
      <c r="D183" t="str">
        <f>orig_e_resources_table!D258</f>
        <v>http://www.oxfordislamicstudies.com/</v>
      </c>
      <c r="E183" t="str">
        <f>LOWER(IF(orig_e_resources_table!F258=1,TRUE,FALSE))</f>
        <v>false</v>
      </c>
      <c r="F183" t="str">
        <f>LOWER(IF(orig_e_resources_table!I258=1,TRUE,FALSE))</f>
        <v>false</v>
      </c>
      <c r="G183" s="4"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I183" s="5"/>
      <c r="J183" s="5" t="s">
        <v>1201</v>
      </c>
    </row>
    <row r="184" spans="1:10" ht="105" x14ac:dyDescent="0.25">
      <c r="A184">
        <v>230</v>
      </c>
      <c r="B184" t="str">
        <f>orig_e_resources_table!B231</f>
        <v>Palgrave Dictionary of Economics</v>
      </c>
      <c r="C184" t="str">
        <f>IF(orig_e_resources_table!C231="","",orig_e_resources_table!C231)</f>
        <v/>
      </c>
      <c r="D184" t="str">
        <f>orig_e_resources_table!D231</f>
        <v>http://www.dictionaryofeconomics.com/dictionary</v>
      </c>
      <c r="E184" t="str">
        <f>LOWER(IF(orig_e_resources_table!F231=1,TRUE,FALSE))</f>
        <v>false</v>
      </c>
      <c r="F184" t="str">
        <f>LOWER(IF(orig_e_resources_table!I231=1,TRUE,FALSE))</f>
        <v>true</v>
      </c>
      <c r="G184" s="4"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c r="I184" s="5"/>
      <c r="J184" s="5" t="s">
        <v>1201</v>
      </c>
    </row>
    <row r="185" spans="1:10" ht="60" x14ac:dyDescent="0.25">
      <c r="A185">
        <v>154</v>
      </c>
      <c r="B185" t="str">
        <f>orig_e_resources_table!B155</f>
        <v>Papers First</v>
      </c>
      <c r="C185" t="str">
        <f>IF(orig_e_resources_table!C155="","",orig_e_resources_table!C155)</f>
        <v/>
      </c>
      <c r="D185" t="str">
        <f>orig_e_resources_table!D155</f>
        <v>http://newfirstsearch.oclc.org/dbname=PapersFirst;FSIP</v>
      </c>
      <c r="E185" t="str">
        <f>LOWER(IF(orig_e_resources_table!F155=1,TRUE,FALSE))</f>
        <v>true</v>
      </c>
      <c r="F185" t="str">
        <f>LOWER(IF(orig_e_resources_table!I155=1,TRUE,FALSE))</f>
        <v>true</v>
      </c>
      <c r="G185" s="4" t="str">
        <f>SUBSTITUTE(SUBSTITUTE(orig_e_resources_table!O155,CHAR(13),""),CHAR(10),"")</f>
        <v>An index of papers presented at conferences. Includes every congress, conference, exposition, workshop, symposium, and meeting received at the British Library.</v>
      </c>
      <c r="I185" s="5"/>
      <c r="J185" s="5" t="s">
        <v>1201</v>
      </c>
    </row>
    <row r="186" spans="1:10" ht="60" x14ac:dyDescent="0.25">
      <c r="A186">
        <v>155</v>
      </c>
      <c r="B186" t="str">
        <f>orig_e_resources_table!B156</f>
        <v>PerAbs</v>
      </c>
      <c r="C186" t="str">
        <f>IF(orig_e_resources_table!C156="","",orig_e_resources_table!C156)</f>
        <v>Periodical Abstracts</v>
      </c>
      <c r="D186" t="str">
        <f>orig_e_resources_table!D156</f>
        <v>http://newfirstsearch.oclc.org/dbname=PerAbs;FSIP</v>
      </c>
      <c r="E186" t="str">
        <f>LOWER(IF(orig_e_resources_table!F156=1,TRUE,FALSE))</f>
        <v>false</v>
      </c>
      <c r="F186" t="str">
        <f>LOWER(IF(orig_e_resources_table!I156=1,TRUE,FALSE))</f>
        <v>true</v>
      </c>
      <c r="G186" s="4" t="str">
        <f>SUBSTITUTE(SUBSTITUTE(orig_e_resources_table!O156,CHAR(13),""),CHAR(10),"")</f>
        <v>Periodical abstracts from general and academic journals. Subject covered include business, economics, literature, psychology, religion, and women's studies.</v>
      </c>
      <c r="I186" s="5"/>
      <c r="J186" s="5" t="s">
        <v>1201</v>
      </c>
    </row>
    <row r="187" spans="1:10" ht="75" x14ac:dyDescent="0.25">
      <c r="A187">
        <v>156</v>
      </c>
      <c r="B187" t="str">
        <f>orig_e_resources_table!B157</f>
        <v>Philosopher's Index</v>
      </c>
      <c r="C187" t="str">
        <f>IF(orig_e_resources_table!C157="","",orig_e_resources_table!C157)</f>
        <v/>
      </c>
      <c r="D187" t="str">
        <f>orig_e_resources_table!D157</f>
        <v>http://search.ebscohost.com/login.aspx?authtype=ip,uid&amp;profile=ehost&amp;defaultdb=phl</v>
      </c>
      <c r="E187" t="str">
        <f>LOWER(IF(orig_e_resources_table!F157=1,TRUE,FALSE))</f>
        <v>true</v>
      </c>
      <c r="F187" t="str">
        <f>LOWER(IF(orig_e_resources_table!I157=1,TRUE,FALSE))</f>
        <v>true</v>
      </c>
      <c r="G187" s="4" t="str">
        <f>SUBSTITUTE(SUBSTITUTE(orig_e_resources_table!O157,CHAR(13),""),CHAR(10),"")</f>
        <v>Philosopher's Index covers all major fields of philosophy. This resource contains citation information and author-written abstracts for journal articles, books, contributions to anthologies, and book reviews.</v>
      </c>
      <c r="I187" s="5" t="s">
        <v>1277</v>
      </c>
      <c r="J187" s="5" t="s">
        <v>1201</v>
      </c>
    </row>
    <row r="188" spans="1:10" ht="180" x14ac:dyDescent="0.25">
      <c r="A188">
        <v>157</v>
      </c>
      <c r="B188" t="str">
        <f>orig_e_resources_table!B158</f>
        <v>PILOTS Database</v>
      </c>
      <c r="C188" t="str">
        <f>IF(orig_e_resources_table!C158="","",orig_e_resources_table!C158)</f>
        <v>Published International Literature On Traumatic Stress</v>
      </c>
      <c r="D188" t="str">
        <f>orig_e_resources_table!D158</f>
        <v>http://www.csa.com/htbin/dbrng.cgi?username=paulg&amp;access=paulg20&amp;db=pilots-set-c</v>
      </c>
      <c r="E188" t="str">
        <f>LOWER(IF(orig_e_resources_table!F158=1,TRUE,FALSE))</f>
        <v>false</v>
      </c>
      <c r="F188" t="str">
        <f>LOWER(IF(orig_e_resources_table!I158=1,TRUE,FALSE))</f>
        <v>true</v>
      </c>
      <c r="G188" s="4"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c r="I188" s="5"/>
      <c r="J188" s="5" t="s">
        <v>1201</v>
      </c>
    </row>
    <row r="189" spans="1:10" ht="150" x14ac:dyDescent="0.25">
      <c r="A189">
        <v>158</v>
      </c>
      <c r="B189" t="str">
        <f>orig_e_resources_table!B159</f>
        <v>Plant Science</v>
      </c>
      <c r="C189" t="str">
        <f>IF(orig_e_resources_table!C159="","",orig_e_resources_table!C159)</f>
        <v/>
      </c>
      <c r="D189" t="str">
        <f>orig_e_resources_table!D159</f>
        <v>http://www.csa.com/htbin/dbrng.cgi?username=paulg&amp;access=paulg20&amp;db=plantsci-set-c</v>
      </c>
      <c r="E189" t="str">
        <f>LOWER(IF(orig_e_resources_table!F159=1,TRUE,FALSE))</f>
        <v>false</v>
      </c>
      <c r="F189" t="str">
        <f>LOWER(IF(orig_e_resources_table!I159=1,TRUE,FALSE))</f>
        <v>true</v>
      </c>
      <c r="G189" s="4"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c r="I189" s="5"/>
      <c r="J189" s="5" t="s">
        <v>1201</v>
      </c>
    </row>
    <row r="190" spans="1:10" ht="75" x14ac:dyDescent="0.25">
      <c r="A190">
        <v>159</v>
      </c>
      <c r="B190" t="str">
        <f>orig_e_resources_table!B160</f>
        <v>PLoS</v>
      </c>
      <c r="C190" t="str">
        <f>IF(orig_e_resources_table!C160="","",orig_e_resources_table!C160)</f>
        <v>Public Library of Science</v>
      </c>
      <c r="D190" t="str">
        <f>orig_e_resources_table!D160</f>
        <v>http://www.plos.org/</v>
      </c>
      <c r="E190" t="str">
        <f>LOWER(IF(orig_e_resources_table!F160=1,TRUE,FALSE))</f>
        <v>true</v>
      </c>
      <c r="F190" t="str">
        <f>LOWER(IF(orig_e_resources_table!I160=1,TRUE,FALSE))</f>
        <v>false</v>
      </c>
      <c r="G190" s="4"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c r="I190" s="5" t="s">
        <v>1263</v>
      </c>
      <c r="J190" s="5" t="s">
        <v>1201</v>
      </c>
    </row>
    <row r="191" spans="1:10" ht="210" x14ac:dyDescent="0.25">
      <c r="A191">
        <v>160</v>
      </c>
      <c r="B191" t="str">
        <f>orig_e_resources_table!B161</f>
        <v>Pollution Abstracts</v>
      </c>
      <c r="C191" t="str">
        <f>IF(orig_e_resources_table!C161="","",orig_e_resources_table!C161)</f>
        <v/>
      </c>
      <c r="D191" t="str">
        <f>orig_e_resources_table!D161</f>
        <v>http://www.csa.com/htbin/dbrng.cgi?username=paulg&amp;access=paulg20&amp;db=pollution-set-c&amp;adv=1</v>
      </c>
      <c r="E191" t="str">
        <f>LOWER(IF(orig_e_resources_table!F161=1,TRUE,FALSE))</f>
        <v>false</v>
      </c>
      <c r="F191" t="str">
        <f>LOWER(IF(orig_e_resources_table!I161=1,TRUE,FALSE))</f>
        <v>true</v>
      </c>
      <c r="G191" s="4"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c r="I191" s="5"/>
      <c r="J191" s="5" t="s">
        <v>1201</v>
      </c>
    </row>
    <row r="192" spans="1:10" ht="75" x14ac:dyDescent="0.25">
      <c r="A192">
        <v>256</v>
      </c>
      <c r="B192" t="str">
        <f>orig_e_resources_table!B257</f>
        <v>PrivCo</v>
      </c>
      <c r="C192" t="str">
        <f>IF(orig_e_resources_table!C257="","",orig_e_resources_table!C257)</f>
        <v>NULL</v>
      </c>
      <c r="D192" t="str">
        <f>orig_e_resources_table!D257</f>
        <v>http://www.privco.com</v>
      </c>
      <c r="E192" t="str">
        <f>LOWER(IF(orig_e_resources_table!F257=1,TRUE,FALSE))</f>
        <v>true</v>
      </c>
      <c r="F192" t="str">
        <f>LOWER(IF(orig_e_resources_table!I257=1,TRUE,FALSE))</f>
        <v>true</v>
      </c>
      <c r="G192" s="4"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c r="I192" s="5" t="s">
        <v>1255</v>
      </c>
      <c r="J192" s="5" t="s">
        <v>1201</v>
      </c>
    </row>
    <row r="193" spans="1:10" ht="60" x14ac:dyDescent="0.25">
      <c r="A193">
        <v>161</v>
      </c>
      <c r="B193" t="str">
        <f>orig_e_resources_table!B162</f>
        <v>Proceedings</v>
      </c>
      <c r="C193" t="str">
        <f>IF(orig_e_resources_table!C162="","",orig_e_resources_table!C162)</f>
        <v/>
      </c>
      <c r="D193" t="str">
        <f>orig_e_resources_table!D162</f>
        <v>http://newfirstsearch.oclc.org/dbname=Proceedings;FSIP</v>
      </c>
      <c r="E193" t="str">
        <f>LOWER(IF(orig_e_resources_table!F162=1,TRUE,FALSE))</f>
        <v>true</v>
      </c>
      <c r="F193" t="str">
        <f>LOWER(IF(orig_e_resources_table!I162=1,TRUE,FALSE))</f>
        <v>true</v>
      </c>
      <c r="G193" s="4" t="str">
        <f>SUBSTITUTE(SUBSTITUTE(orig_e_resources_table!O162,CHAR(13),""),CHAR(10),"")</f>
        <v>Index of worldwide conference proceedings. Covers every published congress, symposium, conference, exposition, workshop and meeting received by The British Library Document Supply Centre.</v>
      </c>
      <c r="I193" s="5"/>
      <c r="J193" s="5" t="s">
        <v>1201</v>
      </c>
    </row>
    <row r="194" spans="1:10" ht="135" x14ac:dyDescent="0.25">
      <c r="A194">
        <v>162</v>
      </c>
      <c r="B194" t="str">
        <f>orig_e_resources_table!B163</f>
        <v>Professional Development Collection</v>
      </c>
      <c r="C194" t="str">
        <f>IF(orig_e_resources_table!C163="","",orig_e_resources_table!C163)</f>
        <v/>
      </c>
      <c r="D194" t="str">
        <f>orig_e_resources_table!D163</f>
        <v>http://search.EBSCOhost.com/login.asp?profile=web&amp;defaultdb=tfh</v>
      </c>
      <c r="E194" t="str">
        <f>LOWER(IF(orig_e_resources_table!F163=1,TRUE,FALSE))</f>
        <v>true</v>
      </c>
      <c r="F194" t="str">
        <f>LOWER(IF(orig_e_resources_table!I163=1,TRUE,FALSE))</f>
        <v>true</v>
      </c>
      <c r="G194" s="4"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I194" s="5"/>
      <c r="J194" s="5" t="s">
        <v>1201</v>
      </c>
    </row>
    <row r="195" spans="1:10" ht="105" x14ac:dyDescent="0.25">
      <c r="A195">
        <v>163</v>
      </c>
      <c r="B195" t="str">
        <f>orig_e_resources_table!B164</f>
        <v>Project Gutenberg</v>
      </c>
      <c r="C195" t="str">
        <f>IF(orig_e_resources_table!C164="","",orig_e_resources_table!C164)</f>
        <v/>
      </c>
      <c r="D195" t="str">
        <f>orig_e_resources_table!D164</f>
        <v>http://gutenberg.cc/</v>
      </c>
      <c r="E195" t="str">
        <f>LOWER(IF(orig_e_resources_table!F164=1,TRUE,FALSE))</f>
        <v>true</v>
      </c>
      <c r="F195" t="str">
        <f>LOWER(IF(orig_e_resources_table!I164=1,TRUE,FALSE))</f>
        <v>false</v>
      </c>
      <c r="G195" s="4"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I195" s="5" t="s">
        <v>1278</v>
      </c>
      <c r="J195" s="5" t="s">
        <v>1201</v>
      </c>
    </row>
    <row r="196" spans="1:10" ht="75" x14ac:dyDescent="0.25">
      <c r="A196">
        <v>164</v>
      </c>
      <c r="B196" t="str">
        <f>orig_e_resources_table!B165</f>
        <v>Project Muse</v>
      </c>
      <c r="C196" t="str">
        <f>IF(orig_e_resources_table!C165="","",orig_e_resources_table!C165)</f>
        <v/>
      </c>
      <c r="D196" t="str">
        <f>orig_e_resources_table!D165</f>
        <v>http://muse.jhu.edu/search/search.pl</v>
      </c>
      <c r="E196" t="str">
        <f>LOWER(IF(orig_e_resources_table!F165=1,TRUE,FALSE))</f>
        <v>true</v>
      </c>
      <c r="F196" t="str">
        <f>LOWER(IF(orig_e_resources_table!I165=1,TRUE,FALSE))</f>
        <v>true</v>
      </c>
      <c r="G196" s="4"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c r="I196" s="5" t="s">
        <v>1278</v>
      </c>
      <c r="J196" s="5" t="s">
        <v>1201</v>
      </c>
    </row>
    <row r="197" spans="1:10" x14ac:dyDescent="0.25">
      <c r="A197">
        <v>165</v>
      </c>
      <c r="B197" t="str">
        <f>orig_e_resources_table!B166</f>
        <v>PROMT</v>
      </c>
      <c r="C197" t="str">
        <f>IF(orig_e_resources_table!C166="","",orig_e_resources_table!C166)</f>
        <v>Predicast Overview of Markets and Technology</v>
      </c>
      <c r="D197" t="str">
        <f>orig_e_resources_table!D166</f>
        <v>http://find.galegroup.com/menu/start?userGroupName=chic40381&amp;prod=PRS</v>
      </c>
      <c r="E197" t="str">
        <f>LOWER(IF(orig_e_resources_table!F166=1,TRUE,FALSE))</f>
        <v>false</v>
      </c>
      <c r="F197" t="str">
        <f>LOWER(IF(orig_e_resources_table!I166=1,TRUE,FALSE))</f>
        <v>false</v>
      </c>
      <c r="G197" s="4" t="str">
        <f>SUBSTITUTE(SUBSTITUTE(orig_e_resources_table!O166,CHAR(13),""),CHAR(10),"")</f>
        <v/>
      </c>
      <c r="I197" s="5"/>
      <c r="J197" s="5" t="s">
        <v>1201</v>
      </c>
    </row>
    <row r="198" spans="1:10" ht="90" x14ac:dyDescent="0.25">
      <c r="A198">
        <v>254</v>
      </c>
      <c r="B198" t="str">
        <f>orig_e_resources_table!B255</f>
        <v>ProQuest SciTech Collection</v>
      </c>
      <c r="C198" t="str">
        <f>IF(orig_e_resources_table!C255="","",orig_e_resources_table!C255)</f>
        <v/>
      </c>
      <c r="D198" t="str">
        <f>orig_e_resources_table!D255</f>
        <v>http://search.proquest.com/technologycollection</v>
      </c>
      <c r="E198" t="str">
        <f>LOWER(IF(orig_e_resources_table!F255=1,TRUE,FALSE))</f>
        <v>true</v>
      </c>
      <c r="F198" t="str">
        <f>LOWER(IF(orig_e_resources_table!I255=1,TRUE,FALSE))</f>
        <v>true</v>
      </c>
      <c r="G198" s="4"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c r="I198" s="5" t="s">
        <v>1279</v>
      </c>
      <c r="J198" s="5" t="s">
        <v>1201</v>
      </c>
    </row>
    <row r="199" spans="1:10" ht="240" x14ac:dyDescent="0.25">
      <c r="A199">
        <v>166</v>
      </c>
      <c r="B199" t="str">
        <f>orig_e_resources_table!B167</f>
        <v>PsycARTICLES</v>
      </c>
      <c r="C199" t="str">
        <f>IF(orig_e_resources_table!C167="","",orig_e_resources_table!C167)</f>
        <v/>
      </c>
      <c r="D199" t="str">
        <f>orig_e_resources_table!D167</f>
        <v>http://search.ebscohost.com/login.asp?profile=web&amp;defaultdb=pdh</v>
      </c>
      <c r="E199" t="str">
        <f>LOWER(IF(orig_e_resources_table!F167=1,TRUE,FALSE))</f>
        <v>true</v>
      </c>
      <c r="F199" t="str">
        <f>LOWER(IF(orig_e_resources_table!I167=1,TRUE,FALSE))</f>
        <v>true</v>
      </c>
      <c r="G199" s="4"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I199" s="5" t="s">
        <v>1233</v>
      </c>
      <c r="J199" s="5" t="s">
        <v>1201</v>
      </c>
    </row>
    <row r="200" spans="1:10" ht="90" x14ac:dyDescent="0.25">
      <c r="A200">
        <v>219</v>
      </c>
      <c r="B200" t="str">
        <f>orig_e_resources_table!B220</f>
        <v>PsycEXTRA</v>
      </c>
      <c r="C200" t="str">
        <f>IF(orig_e_resources_table!C220="","",orig_e_resources_table!C220)</f>
        <v>NULL</v>
      </c>
      <c r="D200" t="str">
        <f>orig_e_resources_table!D220</f>
        <v>http://search.ebscohost.com/login.asp?profile=web&amp;defaultdb=pxh</v>
      </c>
      <c r="E200" t="str">
        <f>LOWER(IF(orig_e_resources_table!F220=1,TRUE,FALSE))</f>
        <v>true</v>
      </c>
      <c r="F200" t="str">
        <f>LOWER(IF(orig_e_resources_table!I220=1,TRUE,FALSE))</f>
        <v>true</v>
      </c>
      <c r="G200" s="4"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I200" s="5" t="s">
        <v>1233</v>
      </c>
      <c r="J200" s="5" t="s">
        <v>1201</v>
      </c>
    </row>
    <row r="201" spans="1:10" ht="210" x14ac:dyDescent="0.25">
      <c r="A201">
        <v>167</v>
      </c>
      <c r="B201" t="str">
        <f>orig_e_resources_table!B168</f>
        <v>PsycINFO</v>
      </c>
      <c r="C201" t="str">
        <f>IF(orig_e_resources_table!C168="","",orig_e_resources_table!C168)</f>
        <v/>
      </c>
      <c r="D201" t="str">
        <f>orig_e_resources_table!D168</f>
        <v>http://search.ebscohost.com/login.asp?profile=web&amp;amp;defaultdb=psyh</v>
      </c>
      <c r="E201" t="str">
        <f>LOWER(IF(orig_e_resources_table!F168=1,TRUE,FALSE))</f>
        <v>true</v>
      </c>
      <c r="F201" t="str">
        <f>LOWER(IF(orig_e_resources_table!I168=1,TRUE,FALSE))</f>
        <v>true</v>
      </c>
      <c r="G201" s="4"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I201" s="5" t="s">
        <v>1233</v>
      </c>
      <c r="J201" s="5" t="s">
        <v>1201</v>
      </c>
    </row>
    <row r="202" spans="1:10" ht="120" x14ac:dyDescent="0.25">
      <c r="A202">
        <v>169</v>
      </c>
      <c r="B202" t="str">
        <f>orig_e_resources_table!B170</f>
        <v>PubMed</v>
      </c>
      <c r="C202" t="str">
        <f>IF(orig_e_resources_table!C170="","",orig_e_resources_table!C170)</f>
        <v/>
      </c>
      <c r="D202" t="str">
        <f>orig_e_resources_table!D170</f>
        <v>http://www.ncbi.nlm.nih.gov/sites/entrez?otool=ilinstclib</v>
      </c>
      <c r="E202" t="str">
        <f>LOWER(IF(orig_e_resources_table!F170=1,TRUE,FALSE))</f>
        <v>true</v>
      </c>
      <c r="F202" t="str">
        <f>LOWER(IF(orig_e_resources_table!I170=1,TRUE,FALSE))</f>
        <v>false</v>
      </c>
      <c r="G202" s="4"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I202" s="5" t="s">
        <v>1272</v>
      </c>
      <c r="J202" s="5" t="s">
        <v>1201</v>
      </c>
    </row>
    <row r="203" spans="1:10" ht="60" x14ac:dyDescent="0.25">
      <c r="A203">
        <v>170</v>
      </c>
      <c r="B203" t="str">
        <f>orig_e_resources_table!B171</f>
        <v>Regional Business News</v>
      </c>
      <c r="C203" t="str">
        <f>IF(orig_e_resources_table!C171="","",orig_e_resources_table!C171)</f>
        <v/>
      </c>
      <c r="D203" t="str">
        <f>orig_e_resources_table!D171</f>
        <v>http://search.EBSCOhost.com/login.asp?profile=web&amp;defaultdb=bwh</v>
      </c>
      <c r="E203" t="str">
        <f>LOWER(IF(orig_e_resources_table!F171=1,TRUE,FALSE))</f>
        <v>true</v>
      </c>
      <c r="F203" t="str">
        <f>LOWER(IF(orig_e_resources_table!I171=1,TRUE,FALSE))</f>
        <v>true</v>
      </c>
      <c r="G203" s="4" t="str">
        <f>SUBSTITUTE(SUBSTITUTE(orig_e_resources_table!O171,CHAR(13),""),CHAR(10),"")</f>
        <v>Regional Business News covers 75 business journals, newspapers and newswires covering all metropolitan and rural areas within the United States. Full-text is available for many publications.</v>
      </c>
      <c r="I203" s="5" t="s">
        <v>1255</v>
      </c>
      <c r="J203" s="5" t="s">
        <v>1201</v>
      </c>
    </row>
    <row r="204" spans="1:10" ht="225" x14ac:dyDescent="0.25">
      <c r="A204">
        <v>171</v>
      </c>
      <c r="B204" t="str">
        <f>orig_e_resources_table!B172</f>
        <v>Risk Abstracts</v>
      </c>
      <c r="C204" t="str">
        <f>IF(orig_e_resources_table!C172="","",orig_e_resources_table!C172)</f>
        <v/>
      </c>
      <c r="D204" t="str">
        <f>orig_e_resources_table!D172</f>
        <v>http://www.csa.com/htbin/dbrng.cgi?username=paulg&amp;access=paulg20&amp;db=risk-set-c</v>
      </c>
      <c r="E204" t="str">
        <f>LOWER(IF(orig_e_resources_table!F172=1,TRUE,FALSE))</f>
        <v>false</v>
      </c>
      <c r="F204" t="str">
        <f>LOWER(IF(orig_e_resources_table!I172=1,TRUE,FALSE))</f>
        <v>true</v>
      </c>
      <c r="G204" s="4"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c r="I204" s="5"/>
      <c r="J204" s="5" t="s">
        <v>1201</v>
      </c>
    </row>
    <row r="205" spans="1:10" x14ac:dyDescent="0.25">
      <c r="A205">
        <v>135</v>
      </c>
      <c r="B205" t="str">
        <f>orig_e_resources_table!B136</f>
        <v>RSC Journal Archives (abstracts)</v>
      </c>
      <c r="C205" t="str">
        <f>IF(orig_e_resources_table!C136="","",orig_e_resources_table!C136)</f>
        <v>NULL</v>
      </c>
      <c r="D205" t="str">
        <f>orig_e_resources_table!D136</f>
        <v>http://www.rsc.org/Publishing/Journals/fjournalsearch.asp</v>
      </c>
      <c r="E205" t="str">
        <f>LOWER(IF(orig_e_resources_table!F136=1,TRUE,FALSE))</f>
        <v>true</v>
      </c>
      <c r="F205" t="str">
        <f>LOWER(IF(orig_e_resources_table!I136=1,TRUE,FALSE))</f>
        <v>false</v>
      </c>
      <c r="G205" s="4" t="str">
        <f>SUBSTITUTE(SUBSTITUTE(orig_e_resources_table!O136,CHAR(13),""),CHAR(10),"")</f>
        <v/>
      </c>
      <c r="I205" s="5"/>
      <c r="J205" s="5" t="s">
        <v>1201</v>
      </c>
    </row>
    <row r="206" spans="1:10" ht="150" x14ac:dyDescent="0.25">
      <c r="A206">
        <v>232</v>
      </c>
      <c r="B206" t="str">
        <f>orig_e_resources_table!B233</f>
        <v>Safari Books Online</v>
      </c>
      <c r="C206" t="str">
        <f>IF(orig_e_resources_table!C233="","",orig_e_resources_table!C233)</f>
        <v>NULL</v>
      </c>
      <c r="D206" t="str">
        <f>orig_e_resources_table!D233</f>
        <v>http://proquestcombo.safaribooksonline.com/?uicode=illinstt</v>
      </c>
      <c r="E206" t="str">
        <f>LOWER(IF(orig_e_resources_table!F233=1,TRUE,FALSE))</f>
        <v>true</v>
      </c>
      <c r="F206" t="str">
        <f>LOWER(IF(orig_e_resources_table!I233=1,TRUE,FALSE))</f>
        <v>true</v>
      </c>
      <c r="G206" s="4"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I206" s="5"/>
      <c r="J206" s="5" t="s">
        <v>1201</v>
      </c>
    </row>
    <row r="207" spans="1:10" ht="210" x14ac:dyDescent="0.25">
      <c r="A207">
        <v>226</v>
      </c>
      <c r="B207" t="str">
        <f>orig_e_resources_table!B227</f>
        <v>SAGE eReference Encyclopedias</v>
      </c>
      <c r="C207" t="str">
        <f>IF(orig_e_resources_table!C227="","",orig_e_resources_table!C227)</f>
        <v>NULL</v>
      </c>
      <c r="D207" t="str">
        <f>orig_e_resources_table!D227</f>
        <v>http://sage-ereference.com/</v>
      </c>
      <c r="E207" t="str">
        <f>LOWER(IF(orig_e_resources_table!F227=1,TRUE,FALSE))</f>
        <v>true</v>
      </c>
      <c r="F207" t="str">
        <f>LOWER(IF(orig_e_resources_table!I227=1,TRUE,FALSE))</f>
        <v>true</v>
      </c>
      <c r="G207" s="4"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I207" s="5" t="s">
        <v>1280</v>
      </c>
      <c r="J207" s="5" t="s">
        <v>1202</v>
      </c>
    </row>
    <row r="208" spans="1:10" ht="90" x14ac:dyDescent="0.25">
      <c r="A208">
        <v>172</v>
      </c>
      <c r="B208" t="str">
        <f>orig_e_resources_table!B173</f>
        <v>SAGE Journals Online</v>
      </c>
      <c r="C208" t="str">
        <f>IF(orig_e_resources_table!C173="","",orig_e_resources_table!C173)</f>
        <v/>
      </c>
      <c r="D208" t="str">
        <f>orig_e_resources_table!D173</f>
        <v>http://online.sagepub.com</v>
      </c>
      <c r="E208" t="str">
        <f>LOWER(IF(orig_e_resources_table!F173=1,TRUE,FALSE))</f>
        <v>true</v>
      </c>
      <c r="F208" t="str">
        <f>LOWER(IF(orig_e_resources_table!I173=1,TRUE,FALSE))</f>
        <v>true</v>
      </c>
      <c r="G208" s="4"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c r="I208" s="5" t="s">
        <v>1280</v>
      </c>
      <c r="J208" s="5" t="s">
        <v>1201</v>
      </c>
    </row>
    <row r="209" spans="1:10" ht="315" x14ac:dyDescent="0.25">
      <c r="A209">
        <v>173</v>
      </c>
      <c r="B209" t="str">
        <f>orig_e_resources_table!B174</f>
        <v>Sanborn Digital Maps 1867-1970</v>
      </c>
      <c r="C209" t="str">
        <f>IF(orig_e_resources_table!C174="","",orig_e_resources_table!C174)</f>
        <v/>
      </c>
      <c r="D209" t="str">
        <f>orig_e_resources_table!D174</f>
        <v>http://collections.carli.illinois.edu/cdm4/browse.php?CISOROOT=/sanborn</v>
      </c>
      <c r="E209" t="str">
        <f>LOWER(IF(orig_e_resources_table!F174=1,TRUE,FALSE))</f>
        <v>true</v>
      </c>
      <c r="F209" t="str">
        <f>LOWER(IF(orig_e_resources_table!I174=1,TRUE,FALSE))</f>
        <v>true</v>
      </c>
      <c r="G209" s="4"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I209" s="5" t="s">
        <v>1239</v>
      </c>
      <c r="J209" s="5" t="s">
        <v>1223</v>
      </c>
    </row>
    <row r="210" spans="1:10" ht="195" x14ac:dyDescent="0.25">
      <c r="A210">
        <v>174</v>
      </c>
      <c r="B210" t="str">
        <f>orig_e_resources_table!B175</f>
        <v>Saskia Art Images Collection</v>
      </c>
      <c r="C210" t="str">
        <f>IF(orig_e_resources_table!C175="","",orig_e_resources_table!C175)</f>
        <v/>
      </c>
      <c r="D210" t="str">
        <f>orig_e_resources_table!D175</f>
        <v>http://collections.carli.illinois.edu/cdm4/index_saskia.php?CISOROOT=/saskia</v>
      </c>
      <c r="E210" t="str">
        <f>LOWER(IF(orig_e_resources_table!F175=1,TRUE,FALSE))</f>
        <v>true</v>
      </c>
      <c r="F210" t="str">
        <f>LOWER(IF(orig_e_resources_table!I175=1,TRUE,FALSE))</f>
        <v>true</v>
      </c>
      <c r="G210" s="4"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I210" s="5" t="s">
        <v>1228</v>
      </c>
      <c r="J210" s="5" t="s">
        <v>1205</v>
      </c>
    </row>
    <row r="211" spans="1:10" ht="60" x14ac:dyDescent="0.25">
      <c r="A211">
        <v>175</v>
      </c>
      <c r="B211" t="str">
        <f>orig_e_resources_table!B176</f>
        <v>Science.gov</v>
      </c>
      <c r="C211" t="str">
        <f>IF(orig_e_resources_table!C176="","",orig_e_resources_table!C176)</f>
        <v/>
      </c>
      <c r="D211" t="str">
        <f>orig_e_resources_table!D176</f>
        <v>http://www.science.gov/</v>
      </c>
      <c r="E211" t="str">
        <f>LOWER(IF(orig_e_resources_table!F176=1,TRUE,FALSE))</f>
        <v>true</v>
      </c>
      <c r="F211" t="str">
        <f>LOWER(IF(orig_e_resources_table!I176=1,TRUE,FALSE))</f>
        <v>false</v>
      </c>
      <c r="G211" s="4" t="str">
        <f>SUBSTITUTE(SUBSTITUTE(orig_e_resources_table!O176,CHAR(13),""),CHAR(10),"")</f>
        <v>Science.gov is a gateway to over 50 million pages of authoritative selected science information provided by U.S. government agencies, including research and development results.</v>
      </c>
      <c r="I211" s="5" t="s">
        <v>1272</v>
      </c>
      <c r="J211" s="5" t="s">
        <v>1201</v>
      </c>
    </row>
    <row r="212" spans="1:10" ht="60" x14ac:dyDescent="0.25">
      <c r="A212">
        <v>176</v>
      </c>
      <c r="B212" t="str">
        <f>orig_e_resources_table!B177</f>
        <v>ScienceDirect</v>
      </c>
      <c r="C212" t="str">
        <f>IF(orig_e_resources_table!C177="","",orig_e_resources_table!C177)</f>
        <v/>
      </c>
      <c r="D212" t="str">
        <f>orig_e_resources_table!D177</f>
        <v>http://www.sciencedirect.com/science?_ob=JournalListURL&amp;_update=y&amp;_auth=y&amp;_acct=C000038758&amp;md5=53ed6a00967cec5320d541a476b9d31e&amp;subjColl=all&amp;stype=title&amp;type=subscribed</v>
      </c>
      <c r="E212" t="str">
        <f>LOWER(IF(orig_e_resources_table!F177=1,TRUE,FALSE))</f>
        <v>true</v>
      </c>
      <c r="F212" t="str">
        <f>LOWER(IF(orig_e_resources_table!I177=1,TRUE,FALSE))</f>
        <v>true</v>
      </c>
      <c r="G212" s="4" t="str">
        <f>SUBSTITUTE(SUBSTITUTE(orig_e_resources_table!O177,CHAR(13),""),CHAR(10),"")</f>
        <v>Online access to journals published by Elsevier, mainly in the fields of science, technology, and medicine. Use the Browse links to search for journals by subject area or title.</v>
      </c>
      <c r="I212" s="5" t="s">
        <v>1279</v>
      </c>
      <c r="J212" s="5" t="s">
        <v>1201</v>
      </c>
    </row>
    <row r="213" spans="1:10" ht="45" x14ac:dyDescent="0.25">
      <c r="A213">
        <v>177</v>
      </c>
      <c r="B213" t="str">
        <f>orig_e_resources_table!B178</f>
        <v>SciFinder Scholar</v>
      </c>
      <c r="C213" t="str">
        <f>IF(orig_e_resources_table!C178="","",orig_e_resources_table!C178)</f>
        <v/>
      </c>
      <c r="D213" t="str">
        <f>orig_e_resources_table!D178</f>
        <v>https://scifinder.cas.org/scifinder</v>
      </c>
      <c r="E213" t="str">
        <f>LOWER(IF(orig_e_resources_table!F178=1,TRUE,FALSE))</f>
        <v>true</v>
      </c>
      <c r="F213" t="str">
        <f>LOWER(IF(orig_e_resources_table!I178=1,TRUE,FALSE))</f>
        <v>true</v>
      </c>
      <c r="G213" s="4" t="str">
        <f>SUBSTITUTE(SUBSTITUTE(orig_e_resources_table!O178,CHAR(13),""),CHAR(10),"")</f>
        <v xml:space="preserve">SciFinder is the premier research tool for chemical, biological, biomedical, and related scientific information. </v>
      </c>
      <c r="I213" s="5" t="s">
        <v>1279</v>
      </c>
      <c r="J213" s="5" t="s">
        <v>1201</v>
      </c>
    </row>
    <row r="214" spans="1:10" ht="90" x14ac:dyDescent="0.25">
      <c r="A214">
        <v>179</v>
      </c>
      <c r="B214" t="str">
        <f>orig_e_resources_table!B180</f>
        <v>Scirus</v>
      </c>
      <c r="C214" t="str">
        <f>IF(orig_e_resources_table!C180="","",orig_e_resources_table!C180)</f>
        <v/>
      </c>
      <c r="D214" t="str">
        <f>orig_e_resources_table!D180</f>
        <v>http://scirus.com/</v>
      </c>
      <c r="E214" t="str">
        <f>LOWER(IF(orig_e_resources_table!F180=1,TRUE,FALSE))</f>
        <v>true</v>
      </c>
      <c r="F214" t="str">
        <f>LOWER(IF(orig_e_resources_table!I180=1,TRUE,FALSE))</f>
        <v>false</v>
      </c>
      <c r="G214" s="4"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c r="I214" s="5" t="s">
        <v>1279</v>
      </c>
      <c r="J214" s="5" t="s">
        <v>1201</v>
      </c>
    </row>
    <row r="215" spans="1:10" ht="165" x14ac:dyDescent="0.25">
      <c r="A215">
        <v>180</v>
      </c>
      <c r="B215" t="str">
        <f>orig_e_resources_table!B181</f>
        <v>Scitation</v>
      </c>
      <c r="C215" t="str">
        <f>IF(orig_e_resources_table!C181="","",orig_e_resources_table!C181)</f>
        <v/>
      </c>
      <c r="D215" t="str">
        <f>orig_e_resources_table!D181</f>
        <v>http://scitation.aip.org/</v>
      </c>
      <c r="E215" t="str">
        <f>LOWER(IF(orig_e_resources_table!F181=1,TRUE,FALSE))</f>
        <v>true</v>
      </c>
      <c r="F215" t="str">
        <f>LOWER(IF(orig_e_resources_table!I181=1,TRUE,FALSE))</f>
        <v>true</v>
      </c>
      <c r="G215" s="4"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I215" s="5" t="s">
        <v>1279</v>
      </c>
      <c r="J215" s="5" t="s">
        <v>1201</v>
      </c>
    </row>
    <row r="216" spans="1:10" ht="135" x14ac:dyDescent="0.25">
      <c r="A216">
        <v>251</v>
      </c>
      <c r="B216" t="str">
        <f>orig_e_resources_table!B252</f>
        <v>Share.iit</v>
      </c>
      <c r="C216" t="str">
        <f>IF(orig_e_resources_table!C252="","",orig_e_resources_table!C252)</f>
        <v/>
      </c>
      <c r="D216" t="str">
        <f>orig_e_resources_table!D252</f>
        <v>http://share.iit.edu</v>
      </c>
      <c r="E216" t="str">
        <f>LOWER(IF(orig_e_resources_table!F252=1,TRUE,FALSE))</f>
        <v>true</v>
      </c>
      <c r="F216" t="str">
        <f>LOWER(IF(orig_e_resources_table!I252=1,TRUE,FALSE))</f>
        <v>false</v>
      </c>
      <c r="G216" s="4"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I216" s="5"/>
      <c r="J216" s="5" t="s">
        <v>1225</v>
      </c>
    </row>
    <row r="217" spans="1:10" ht="60" x14ac:dyDescent="0.25">
      <c r="A217">
        <v>181</v>
      </c>
      <c r="B217" t="str">
        <f>orig_e_resources_table!B182</f>
        <v>SIAM Journals</v>
      </c>
      <c r="C217" t="str">
        <f>IF(orig_e_resources_table!C182="","",orig_e_resources_table!C182)</f>
        <v>Society for Industrial and Applied Mathematics</v>
      </c>
      <c r="D217" t="str">
        <f>orig_e_resources_table!D182</f>
        <v>http://epubs.siam.org/</v>
      </c>
      <c r="E217" t="str">
        <f>LOWER(IF(orig_e_resources_table!F182=1,TRUE,FALSE))</f>
        <v>true</v>
      </c>
      <c r="F217" t="str">
        <f>LOWER(IF(orig_e_resources_table!I182=1,TRUE,FALSE))</f>
        <v>true</v>
      </c>
      <c r="G217" s="4" t="str">
        <f>SUBSTITUTE(SUBSTITUTE(orig_e_resources_table!O182,CHAR(13),""),CHAR(10),"")</f>
        <v>An online digital library of publications of the Society for Industrial and Applied Mathematics, from 1997-present. Use the Advanced Search feature to search multiple titles simultaneously.</v>
      </c>
      <c r="I217" s="5" t="s">
        <v>1273</v>
      </c>
      <c r="J217" s="5" t="s">
        <v>1201</v>
      </c>
    </row>
    <row r="218" spans="1:10" ht="60" x14ac:dyDescent="0.25">
      <c r="A218">
        <v>182</v>
      </c>
      <c r="B218" t="str">
        <f>orig_e_resources_table!B183</f>
        <v>SIAM Locus</v>
      </c>
      <c r="C218" t="str">
        <f>IF(orig_e_resources_table!C183="","",orig_e_resources_table!C183)</f>
        <v>Society for Industrial and Applied Mathematics</v>
      </c>
      <c r="D218" t="str">
        <f>orig_e_resources_table!D183</f>
        <v>http://locus.siam.org/</v>
      </c>
      <c r="E218" t="str">
        <f>LOWER(IF(orig_e_resources_table!F183=1,TRUE,FALSE))</f>
        <v>true</v>
      </c>
      <c r="F218" t="str">
        <f>LOWER(IF(orig_e_resources_table!I183=1,TRUE,FALSE))</f>
        <v>true</v>
      </c>
      <c r="G218" s="4"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c r="I218" s="5" t="s">
        <v>1273</v>
      </c>
      <c r="J218" s="5" t="s">
        <v>1201</v>
      </c>
    </row>
    <row r="219" spans="1:10" ht="60" x14ac:dyDescent="0.25">
      <c r="A219">
        <v>28</v>
      </c>
      <c r="B219" t="str">
        <f>orig_e_resources_table!B29</f>
        <v>Simmons Choices</v>
      </c>
      <c r="C219" t="str">
        <f>IF(orig_e_resources_table!C29="","",orig_e_resources_table!C29)</f>
        <v>NULL</v>
      </c>
      <c r="D219" t="str">
        <f>orig_e_resources_table!D29</f>
        <v>#</v>
      </c>
      <c r="E219" t="str">
        <f>LOWER(IF(orig_e_resources_table!F29=1,TRUE,FALSE))</f>
        <v>false</v>
      </c>
      <c r="F219" t="str">
        <f>LOWER(IF(orig_e_resources_table!I29=1,TRUE,FALSE))</f>
        <v>true</v>
      </c>
      <c r="G219" s="4" t="str">
        <f>SUBSTITUTE(SUBSTITUTE(orig_e_resources_table!O29,CHAR(13),""),CHAR(10),"")</f>
        <v>Choices is a powerful tool for market research that allows you to profile the demographics and psychographics of product users, as well as track their media consumption habits.</v>
      </c>
      <c r="I219" s="5"/>
      <c r="J219" s="5" t="s">
        <v>1201</v>
      </c>
    </row>
    <row r="220" spans="1:10" ht="75" x14ac:dyDescent="0.25">
      <c r="A220">
        <v>183</v>
      </c>
      <c r="B220" t="str">
        <f>orig_e_resources_table!B184</f>
        <v>Smithsonian Photography Initiative</v>
      </c>
      <c r="C220" t="str">
        <f>IF(orig_e_resources_table!C184="","",orig_e_resources_table!C184)</f>
        <v/>
      </c>
      <c r="D220" t="str">
        <f>orig_e_resources_table!D184</f>
        <v>http://photography.si.edu/</v>
      </c>
      <c r="E220" t="str">
        <f>LOWER(IF(orig_e_resources_table!F184=1,TRUE,FALSE))</f>
        <v>true</v>
      </c>
      <c r="F220" t="str">
        <f>LOWER(IF(orig_e_resources_table!I184=1,TRUE,FALSE))</f>
        <v>false</v>
      </c>
      <c r="G220" s="4"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c r="I220" s="5" t="s">
        <v>1281</v>
      </c>
      <c r="J220" s="5" t="s">
        <v>1201</v>
      </c>
    </row>
    <row r="221" spans="1:10" ht="90" x14ac:dyDescent="0.25">
      <c r="A221">
        <v>184</v>
      </c>
      <c r="B221" t="str">
        <f>orig_e_resources_table!B185</f>
        <v>Social Services Abstracts</v>
      </c>
      <c r="C221" t="str">
        <f>IF(orig_e_resources_table!C185="","",orig_e_resources_table!C185)</f>
        <v/>
      </c>
      <c r="D221" t="str">
        <f>orig_e_resources_table!D185</f>
        <v>http://www.csa.com/htbin/dbrng.cgi?username=paulg&amp;access=paulg20&amp;db=ssa-set-c</v>
      </c>
      <c r="E221" t="str">
        <f>LOWER(IF(orig_e_resources_table!F185=1,TRUE,FALSE))</f>
        <v>false</v>
      </c>
      <c r="F221" t="str">
        <f>LOWER(IF(orig_e_resources_table!I185=1,TRUE,FALSE))</f>
        <v>true</v>
      </c>
      <c r="G221" s="4"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I221" s="5"/>
      <c r="J221" s="5" t="s">
        <v>1201</v>
      </c>
    </row>
    <row r="222" spans="1:10" ht="120" x14ac:dyDescent="0.25">
      <c r="A222">
        <v>185</v>
      </c>
      <c r="B222" t="str">
        <f>orig_e_resources_table!B186</f>
        <v>Sociological Abstracts</v>
      </c>
      <c r="C222" t="str">
        <f>IF(orig_e_resources_table!C186="","",orig_e_resources_table!C186)</f>
        <v/>
      </c>
      <c r="D222" t="str">
        <f>orig_e_resources_table!D186</f>
        <v>http://www.csa.com/htbin/dbrng.cgi?username=paulg&amp;access=paulg20&amp;db=socioabs-set-c</v>
      </c>
      <c r="E222" t="str">
        <f>LOWER(IF(orig_e_resources_table!F186=1,TRUE,FALSE))</f>
        <v>false</v>
      </c>
      <c r="F222" t="str">
        <f>LOWER(IF(orig_e_resources_table!I186=1,TRUE,FALSE))</f>
        <v>true</v>
      </c>
      <c r="G222" s="4"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I222" s="5"/>
      <c r="J222" s="5" t="s">
        <v>1201</v>
      </c>
    </row>
    <row r="223" spans="1:10" ht="255" x14ac:dyDescent="0.25">
      <c r="A223">
        <v>186</v>
      </c>
      <c r="B223" t="str">
        <f>orig_e_resources_table!B187</f>
        <v>Solid State and Superconductivity Abstracts</v>
      </c>
      <c r="C223" t="str">
        <f>IF(orig_e_resources_table!C187="","",orig_e_resources_table!C187)</f>
        <v/>
      </c>
      <c r="D223" t="str">
        <f>orig_e_resources_table!D187</f>
        <v>http://www.csa.com/htbin/dbrng.cgi?username=paulg&amp;access=paulg20&amp;db=solid-state-set-c</v>
      </c>
      <c r="E223" t="str">
        <f>LOWER(IF(orig_e_resources_table!F187=1,TRUE,FALSE))</f>
        <v>false</v>
      </c>
      <c r="F223" t="str">
        <f>LOWER(IF(orig_e_resources_table!I187=1,TRUE,FALSE))</f>
        <v>true</v>
      </c>
      <c r="G223" s="4"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c r="I223" s="5"/>
      <c r="J223" s="5" t="s">
        <v>1201</v>
      </c>
    </row>
    <row r="224" spans="1:10" ht="75" x14ac:dyDescent="0.25">
      <c r="A224">
        <v>187</v>
      </c>
      <c r="B224" t="str">
        <f>orig_e_resources_table!B188</f>
        <v>SPIRES-HEP</v>
      </c>
      <c r="C224" t="str">
        <f>IF(orig_e_resources_table!C188="","",orig_e_resources_table!C188)</f>
        <v>High-Energy Physics Literature Database</v>
      </c>
      <c r="D224" t="str">
        <f>orig_e_resources_table!D188</f>
        <v>http://www.slac.stanford.edu/spires/hep/</v>
      </c>
      <c r="E224" t="str">
        <f>LOWER(IF(orig_e_resources_table!F188=1,TRUE,FALSE))</f>
        <v>true</v>
      </c>
      <c r="F224" t="str">
        <f>LOWER(IF(orig_e_resources_table!I188=1,TRUE,FALSE))</f>
        <v>false</v>
      </c>
      <c r="G224" s="4"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c r="I224" s="5" t="s">
        <v>1200</v>
      </c>
      <c r="J224" s="5" t="s">
        <v>1201</v>
      </c>
    </row>
    <row r="225" spans="1:10" ht="75" x14ac:dyDescent="0.25">
      <c r="A225">
        <v>243</v>
      </c>
      <c r="B225" t="str">
        <f>orig_e_resources_table!B244</f>
        <v>Springer eBooks</v>
      </c>
      <c r="C225" t="str">
        <f>IF(orig_e_resources_table!C244="","",orig_e_resources_table!C244)</f>
        <v>NULL</v>
      </c>
      <c r="D225" t="str">
        <f>orig_e_resources_table!D244</f>
        <v>http://www.springerlink.com/books</v>
      </c>
      <c r="E225" t="str">
        <f>LOWER(IF(orig_e_resources_table!F244=1,TRUE,FALSE))</f>
        <v>true</v>
      </c>
      <c r="F225" t="str">
        <f>LOWER(IF(orig_e_resources_table!I244=1,TRUE,FALSE))</f>
        <v>true</v>
      </c>
      <c r="G225" s="4" t="str">
        <f>SUBSTITUTE(SUBSTITUTE(orig_e_resources_table!O244,CHAR(13),""),CHAR(10),"")</f>
        <v>Springer eBooks features the full text of academic publications covering the following subjects: Architecture, Design, Business, Economics, Behavioral Science, Biomedical &amp;amp; Life Sciences, and Medicine.</v>
      </c>
      <c r="I225" s="5" t="s">
        <v>1282</v>
      </c>
      <c r="J225" s="5" t="s">
        <v>1204</v>
      </c>
    </row>
    <row r="226" spans="1:10" ht="60" x14ac:dyDescent="0.25">
      <c r="A226">
        <v>188</v>
      </c>
      <c r="B226" t="str">
        <f>orig_e_resources_table!B189</f>
        <v>SpringerLink</v>
      </c>
      <c r="C226" t="str">
        <f>IF(orig_e_resources_table!C189="","",orig_e_resources_table!C189)</f>
        <v/>
      </c>
      <c r="D226" t="str">
        <f>orig_e_resources_table!D189</f>
        <v>http://www.springerlink.com/home/main.mpx</v>
      </c>
      <c r="E226" t="str">
        <f>LOWER(IF(orig_e_resources_table!F189=1,TRUE,FALSE))</f>
        <v>true</v>
      </c>
      <c r="F226" t="str">
        <f>LOWER(IF(orig_e_resources_table!I189=1,TRUE,FALSE))</f>
        <v>true</v>
      </c>
      <c r="G226" s="4" t="str">
        <f>SUBSTITUTE(SUBSTITUTE(orig_e_resources_table!O189,CHAR(13),""),CHAR(10),"")</f>
        <v>Provides electronic access to the complete contents of a growing collection of SpringerLink journals in subjects including Mathematics and Computer Science (formerly Kluwer Journals).</v>
      </c>
      <c r="I226" s="5" t="s">
        <v>1283</v>
      </c>
      <c r="J226" s="5" t="s">
        <v>1201</v>
      </c>
    </row>
    <row r="227" spans="1:10" ht="120" x14ac:dyDescent="0.25">
      <c r="A227">
        <v>258</v>
      </c>
      <c r="B227" t="str">
        <f>orig_e_resources_table!B259</f>
        <v>SpringerMaterials</v>
      </c>
      <c r="C227" t="str">
        <f>IF(orig_e_resources_table!C259="","",orig_e_resources_table!C259)</f>
        <v>NULL</v>
      </c>
      <c r="D227" t="str">
        <f>orig_e_resources_table!D259</f>
        <v>http://www.springermaterials.com</v>
      </c>
      <c r="E227" t="str">
        <f>LOWER(IF(orig_e_resources_table!F259=1,TRUE,FALSE))</f>
        <v>true</v>
      </c>
      <c r="F227" t="str">
        <f>LOWER(IF(orig_e_resources_table!I259=1,TRUE,FALSE))</f>
        <v>true</v>
      </c>
      <c r="G227" s="4"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I227" s="5" t="s">
        <v>1263</v>
      </c>
      <c r="J227" s="5" t="s">
        <v>1201</v>
      </c>
    </row>
    <row r="228" spans="1:10" ht="120" x14ac:dyDescent="0.25">
      <c r="A228">
        <v>252</v>
      </c>
      <c r="B228" t="str">
        <f>orig_e_resources_table!B253</f>
        <v>SSRN - Social Science Research Network</v>
      </c>
      <c r="C228" t="str">
        <f>IF(orig_e_resources_table!C253="","",orig_e_resources_table!C253)</f>
        <v/>
      </c>
      <c r="D228" t="str">
        <f>orig_e_resources_table!D253</f>
        <v>http://papers.ssrn.com/sol3/</v>
      </c>
      <c r="E228" t="str">
        <f>LOWER(IF(orig_e_resources_table!F253=1,TRUE,FALSE))</f>
        <v>true</v>
      </c>
      <c r="F228" t="str">
        <f>LOWER(IF(orig_e_resources_table!I253=1,TRUE,FALSE))</f>
        <v>false</v>
      </c>
      <c r="G228" s="4"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I228" s="5" t="s">
        <v>1284</v>
      </c>
      <c r="J228" s="5" t="s">
        <v>1201</v>
      </c>
    </row>
    <row r="229" spans="1:10" ht="120" x14ac:dyDescent="0.25">
      <c r="A229">
        <v>218</v>
      </c>
      <c r="B229" t="str">
        <f>orig_e_resources_table!B219</f>
        <v>Standard &amp;amp; Poor's NetAdvantage</v>
      </c>
      <c r="C229" t="str">
        <f>IF(orig_e_resources_table!C219="","",orig_e_resources_table!C219)</f>
        <v>NULL</v>
      </c>
      <c r="D229" t="str">
        <f>orig_e_resources_table!D219</f>
        <v>http://www.netadvantage.standardandpoors.com</v>
      </c>
      <c r="E229" t="str">
        <f>LOWER(IF(orig_e_resources_table!F219=1,TRUE,FALSE))</f>
        <v>false</v>
      </c>
      <c r="F229" t="str">
        <f>LOWER(IF(orig_e_resources_table!I219=1,TRUE,FALSE))</f>
        <v>true</v>
      </c>
      <c r="G229" s="4"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I229" s="5"/>
      <c r="J229" s="5" t="s">
        <v>1201</v>
      </c>
    </row>
    <row r="230" spans="1:10" ht="90" x14ac:dyDescent="0.25">
      <c r="A230">
        <v>189</v>
      </c>
      <c r="B230" t="str">
        <f>orig_e_resources_table!B190</f>
        <v>State and County QuickFacts</v>
      </c>
      <c r="C230" t="str">
        <f>IF(orig_e_resources_table!C190="","",orig_e_resources_table!C190)</f>
        <v/>
      </c>
      <c r="D230" t="str">
        <f>orig_e_resources_table!D190</f>
        <v>http://quickfacts.census.gov/qfd/</v>
      </c>
      <c r="E230" t="str">
        <f>LOWER(IF(orig_e_resources_table!F190=1,TRUE,FALSE))</f>
        <v>true</v>
      </c>
      <c r="F230" t="str">
        <f>LOWER(IF(orig_e_resources_table!I190=1,TRUE,FALSE))</f>
        <v>false</v>
      </c>
      <c r="G230" s="4"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I230" s="5" t="s">
        <v>1267</v>
      </c>
      <c r="J230" s="5" t="s">
        <v>1202</v>
      </c>
    </row>
    <row r="231" spans="1:10" ht="105" x14ac:dyDescent="0.25">
      <c r="A231">
        <v>190</v>
      </c>
      <c r="B231" t="str">
        <f>orig_e_resources_table!B191</f>
        <v>Stat-USA</v>
      </c>
      <c r="C231" t="str">
        <f>IF(orig_e_resources_table!C191="","",orig_e_resources_table!C191)</f>
        <v/>
      </c>
      <c r="D231" t="str">
        <f>orig_e_resources_table!D191</f>
        <v>http://www.stat-usa.gov/</v>
      </c>
      <c r="E231" t="str">
        <f>LOWER(IF(orig_e_resources_table!F191=1,TRUE,FALSE))</f>
        <v>false</v>
      </c>
      <c r="F231" t="str">
        <f>LOWER(IF(orig_e_resources_table!I191=1,TRUE,FALSE))</f>
        <v>false</v>
      </c>
      <c r="G231" s="4"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I231" s="5"/>
      <c r="J231" s="5" t="s">
        <v>1202</v>
      </c>
    </row>
    <row r="232" spans="1:10" ht="165" x14ac:dyDescent="0.25">
      <c r="A232">
        <v>191</v>
      </c>
      <c r="B232" t="str">
        <f>orig_e_resources_table!B192</f>
        <v>Sustainability Science Abstracts</v>
      </c>
      <c r="C232" t="str">
        <f>IF(orig_e_resources_table!C192="","",orig_e_resources_table!C192)</f>
        <v/>
      </c>
      <c r="D232" t="str">
        <f>orig_e_resources_table!D192</f>
        <v>http://www.csa.com/htbin/dbrng.cgi?username=paulg&amp;access=paulg20&amp;db=sustain-set-c.php</v>
      </c>
      <c r="E232" t="str">
        <f>LOWER(IF(orig_e_resources_table!F192=1,TRUE,FALSE))</f>
        <v>false</v>
      </c>
      <c r="F232" t="str">
        <f>LOWER(IF(orig_e_resources_table!I192=1,TRUE,FALSE))</f>
        <v>true</v>
      </c>
      <c r="G232" s="4"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c r="I232" s="5"/>
      <c r="J232" s="5" t="s">
        <v>1201</v>
      </c>
    </row>
    <row r="233" spans="1:10" ht="225" x14ac:dyDescent="0.25">
      <c r="A233">
        <v>239</v>
      </c>
      <c r="B233" t="str">
        <f>orig_e_resources_table!B240</f>
        <v>Synthesis Lectures on Biomedical Engineering</v>
      </c>
      <c r="C233" t="str">
        <f>IF(orig_e_resources_table!C240="","",orig_e_resources_table!C240)</f>
        <v>NULL</v>
      </c>
      <c r="D233" t="str">
        <f>orig_e_resources_table!D240</f>
        <v>http://www.morganclaypool.com/page/bec</v>
      </c>
      <c r="E233" t="str">
        <f>LOWER(IF(orig_e_resources_table!F240=1,TRUE,FALSE))</f>
        <v>true</v>
      </c>
      <c r="F233" t="str">
        <f>LOWER(IF(orig_e_resources_table!I240=1,TRUE,FALSE))</f>
        <v>true</v>
      </c>
      <c r="G233" s="4"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I233" s="5" t="s">
        <v>1262</v>
      </c>
      <c r="J233" s="5" t="s">
        <v>1201</v>
      </c>
    </row>
    <row r="234" spans="1:10" ht="45" x14ac:dyDescent="0.25">
      <c r="A234">
        <v>192</v>
      </c>
      <c r="B234" t="str">
        <f>orig_e_resources_table!B193</f>
        <v>Teacher Reference Center</v>
      </c>
      <c r="C234" t="str">
        <f>IF(orig_e_resources_table!C193="","",orig_e_resources_table!C193)</f>
        <v/>
      </c>
      <c r="D234" t="str">
        <f>orig_e_resources_table!D193</f>
        <v>http://search.EBSCOhost.com/login.asp?profile=web&amp;defaultdb=trh</v>
      </c>
      <c r="E234" t="str">
        <f>LOWER(IF(orig_e_resources_table!F193=1,TRUE,FALSE))</f>
        <v>true</v>
      </c>
      <c r="F234" t="str">
        <f>LOWER(IF(orig_e_resources_table!I193=1,TRUE,FALSE))</f>
        <v>true</v>
      </c>
      <c r="G234" s="4" t="str">
        <f>SUBSTITUTE(SUBSTITUTE(orig_e_resources_table!O193,CHAR(13),""),CHAR(10),"")</f>
        <v>Provides indexing and abstracts for more than 270 of the most popular teacher and administrator journals and magazines to assist professional educators.</v>
      </c>
      <c r="I234" s="5" t="s">
        <v>1260</v>
      </c>
      <c r="J234" s="5" t="s">
        <v>1201</v>
      </c>
    </row>
    <row r="235" spans="1:10" ht="105" x14ac:dyDescent="0.25">
      <c r="A235">
        <v>109</v>
      </c>
      <c r="B235" t="str">
        <f>orig_e_resources_table!B110</f>
        <v>Tech News Collection</v>
      </c>
      <c r="C235" t="str">
        <f>IF(orig_e_resources_table!C110="","",orig_e_resources_table!C110)</f>
        <v/>
      </c>
      <c r="D235" t="str">
        <f>orig_e_resources_table!D110</f>
        <v>http://library.iit.edu/technews/</v>
      </c>
      <c r="E235" t="str">
        <f>LOWER(IF(orig_e_resources_table!F110=1,TRUE,FALSE))</f>
        <v>true</v>
      </c>
      <c r="F235" t="str">
        <f>LOWER(IF(orig_e_resources_table!I110=1,TRUE,FALSE))</f>
        <v>false</v>
      </c>
      <c r="G235" s="4"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c r="I235" s="5" t="s">
        <v>1285</v>
      </c>
      <c r="J235" s="5" t="s">
        <v>1214</v>
      </c>
    </row>
    <row r="236" spans="1:10" ht="135" x14ac:dyDescent="0.25">
      <c r="A236">
        <v>241</v>
      </c>
      <c r="B236" t="str">
        <f>orig_e_resources_table!B242</f>
        <v>Tests in Print</v>
      </c>
      <c r="C236" t="str">
        <f>IF(orig_e_resources_table!C242="","",orig_e_resources_table!C242)</f>
        <v>NULL</v>
      </c>
      <c r="D236" t="str">
        <f>orig_e_resources_table!D242</f>
        <v>http://search.EBSCOhost.com/login.asp?profile=web&amp;defaultdb=lph</v>
      </c>
      <c r="E236" t="str">
        <f>LOWER(IF(orig_e_resources_table!F242=1,TRUE,FALSE))</f>
        <v>false</v>
      </c>
      <c r="F236" t="str">
        <f>LOWER(IF(orig_e_resources_table!I242=1,TRUE,FALSE))</f>
        <v>true</v>
      </c>
      <c r="G236" s="4"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c r="I236" s="5"/>
      <c r="J236" s="5" t="s">
        <v>1201</v>
      </c>
    </row>
    <row r="237" spans="1:10" ht="60" x14ac:dyDescent="0.25">
      <c r="A237">
        <v>255</v>
      </c>
      <c r="B237" t="str">
        <f>orig_e_resources_table!B256</f>
        <v>The Times (London)</v>
      </c>
      <c r="C237" t="str">
        <f>IF(orig_e_resources_table!C256="","",orig_e_resources_table!C256)</f>
        <v>NULL</v>
      </c>
      <c r="D237" t="str">
        <f>orig_e_resources_table!D256</f>
        <v>http://find.galegroup.com/ttda/start.do?userGroupName=chic7029</v>
      </c>
      <c r="E237" t="str">
        <f>LOWER(IF(orig_e_resources_table!F256=1,TRUE,FALSE))</f>
        <v>true</v>
      </c>
      <c r="F237" t="str">
        <f>LOWER(IF(orig_e_resources_table!I256=1,TRUE,FALSE))</f>
        <v>true</v>
      </c>
      <c r="G237" s="4" t="str">
        <f>SUBSTITUTE(SUBSTITUTE(orig_e_resources_table!O256,CHAR(13),""),CHAR(10),"")</f>
        <v xml:space="preserve">Complete issues of The Times (London) from 1785 to 2006. Includes headlines, articles, images, editorials, advertisements and from the United Kingdom's paper of record. </v>
      </c>
      <c r="I237" s="5" t="s">
        <v>1286</v>
      </c>
      <c r="J237" s="5" t="s">
        <v>1214</v>
      </c>
    </row>
    <row r="238" spans="1:10" ht="60" x14ac:dyDescent="0.25">
      <c r="A238">
        <v>193</v>
      </c>
      <c r="B238" t="str">
        <f>orig_e_resources_table!B194</f>
        <v>Thesaurus.com</v>
      </c>
      <c r="C238" t="str">
        <f>IF(orig_e_resources_table!C194="","",orig_e_resources_table!C194)</f>
        <v/>
      </c>
      <c r="D238" t="str">
        <f>orig_e_resources_table!D194</f>
        <v>http://thesaurus.reference.com/</v>
      </c>
      <c r="E238" t="str">
        <f>LOWER(IF(orig_e_resources_table!F194=1,TRUE,FALSE))</f>
        <v>true</v>
      </c>
      <c r="F238" t="str">
        <f>LOWER(IF(orig_e_resources_table!I194=1,TRUE,FALSE))</f>
        <v>false</v>
      </c>
      <c r="G238" s="4" t="str">
        <f>SUBSTITUTE(SUBSTITUTE(orig_e_resources_table!O194,CHAR(13),""),CHAR(10),"")</f>
        <v>Thesaurus.com is produced by Lexico Publishing Group, LLC, a provider of language reference products and services on the Internet. The thesaurus that appears on this site is Roget's II: The New Thesaurus.</v>
      </c>
      <c r="I238" s="5"/>
      <c r="J238" s="5" t="s">
        <v>1202</v>
      </c>
    </row>
    <row r="239" spans="1:10" ht="60" x14ac:dyDescent="0.25">
      <c r="A239">
        <v>247</v>
      </c>
      <c r="B239" t="str">
        <f>orig_e_resources_table!B248</f>
        <v>Thomas Register</v>
      </c>
      <c r="C239" t="str">
        <f>IF(orig_e_resources_table!C248="","",orig_e_resources_table!C248)</f>
        <v>ThomasNet</v>
      </c>
      <c r="D239" t="str">
        <f>orig_e_resources_table!D248</f>
        <v>http://www.thomasnet.com/</v>
      </c>
      <c r="E239" t="str">
        <f>LOWER(IF(orig_e_resources_table!F248=1,TRUE,FALSE))</f>
        <v>true</v>
      </c>
      <c r="F239" t="str">
        <f>LOWER(IF(orig_e_resources_table!I248=1,TRUE,FALSE))</f>
        <v>false</v>
      </c>
      <c r="G239" s="4" t="str">
        <f>SUBSTITUTE(SUBSTITUTE(orig_e_resources_table!O248,CHAR(13),""),CHAR(10),"")</f>
        <v>An online directory of industrial product information covering 650,000 distributors, manufacturers and service companies within more than 67,000 industrial categories.</v>
      </c>
      <c r="I239" s="5" t="s">
        <v>1287</v>
      </c>
      <c r="J239" s="5" t="s">
        <v>1201</v>
      </c>
    </row>
    <row r="240" spans="1:10" ht="90" x14ac:dyDescent="0.25">
      <c r="A240">
        <v>194</v>
      </c>
      <c r="B240" t="str">
        <f>orig_e_resources_table!B195</f>
        <v>ThomasNet</v>
      </c>
      <c r="C240" t="str">
        <f>IF(orig_e_resources_table!C195="","",orig_e_resources_table!C195)</f>
        <v/>
      </c>
      <c r="D240" t="str">
        <f>orig_e_resources_table!D195</f>
        <v>http://www.thomasnet.com/</v>
      </c>
      <c r="E240" t="str">
        <f>LOWER(IF(orig_e_resources_table!F195=1,TRUE,FALSE))</f>
        <v>true</v>
      </c>
      <c r="F240" t="str">
        <f>LOWER(IF(orig_e_resources_table!I195=1,TRUE,FALSE))</f>
        <v>false</v>
      </c>
      <c r="G240" s="4"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I240" s="5" t="s">
        <v>1287</v>
      </c>
      <c r="J240" s="5" t="s">
        <v>1201</v>
      </c>
    </row>
    <row r="241" spans="1:10" ht="195" x14ac:dyDescent="0.25">
      <c r="A241">
        <v>195</v>
      </c>
      <c r="B241" t="str">
        <f>orig_e_resources_table!B196</f>
        <v>Toxicology Abstracts</v>
      </c>
      <c r="C241" t="str">
        <f>IF(orig_e_resources_table!C196="","",orig_e_resources_table!C196)</f>
        <v/>
      </c>
      <c r="D241" t="str">
        <f>orig_e_resources_table!D196</f>
        <v>http://www.csa.com/htbin/dbrng.cgi?username=paulg&amp;access=paulg20&amp;db=toxicology-set-c</v>
      </c>
      <c r="E241" t="str">
        <f>LOWER(IF(orig_e_resources_table!F196=1,TRUE,FALSE))</f>
        <v>false</v>
      </c>
      <c r="F241" t="str">
        <f>LOWER(IF(orig_e_resources_table!I196=1,TRUE,FALSE))</f>
        <v>true</v>
      </c>
      <c r="G241" s="4"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I241" s="5"/>
      <c r="J241" s="5" t="s">
        <v>1201</v>
      </c>
    </row>
    <row r="242" spans="1:10" ht="180" x14ac:dyDescent="0.25">
      <c r="A242">
        <v>196</v>
      </c>
      <c r="B242" t="str">
        <f>orig_e_resources_table!B197</f>
        <v>TOXLINE</v>
      </c>
      <c r="C242" t="str">
        <f>IF(orig_e_resources_table!C197="","",orig_e_resources_table!C197)</f>
        <v/>
      </c>
      <c r="D242" t="str">
        <f>orig_e_resources_table!D197</f>
        <v>http://www.csa.com/htbin/dbrng.cgi?username=paulg&amp;access=paulg20&amp;db=toxline-set-c</v>
      </c>
      <c r="E242" t="str">
        <f>LOWER(IF(orig_e_resources_table!F197=1,TRUE,FALSE))</f>
        <v>false</v>
      </c>
      <c r="F242" t="str">
        <f>LOWER(IF(orig_e_resources_table!I197=1,TRUE,FALSE))</f>
        <v>true</v>
      </c>
      <c r="G242" s="4"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c r="I242" s="5"/>
      <c r="J242" s="5" t="s">
        <v>1201</v>
      </c>
    </row>
    <row r="243" spans="1:10" ht="75" x14ac:dyDescent="0.25">
      <c r="A243">
        <v>250</v>
      </c>
      <c r="B243" t="str">
        <f>orig_e_resources_table!B251</f>
        <v>TRAIL</v>
      </c>
      <c r="C243" t="str">
        <f>IF(orig_e_resources_table!C251="","",orig_e_resources_table!C251)</f>
        <v>Technical Report Archive And Image Library</v>
      </c>
      <c r="D243" t="str">
        <f>orig_e_resources_table!D251</f>
        <v>http://www.technicalreports.org</v>
      </c>
      <c r="E243" t="str">
        <f>LOWER(IF(orig_e_resources_table!F251=1,TRUE,FALSE))</f>
        <v>true</v>
      </c>
      <c r="F243" t="str">
        <f>LOWER(IF(orig_e_resources_table!I251=1,TRUE,FALSE))</f>
        <v>false</v>
      </c>
      <c r="G243" s="4"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c r="I243" s="5"/>
      <c r="J243" s="5" t="s">
        <v>1201</v>
      </c>
    </row>
    <row r="244" spans="1:10" ht="195" x14ac:dyDescent="0.25">
      <c r="A244">
        <v>197</v>
      </c>
      <c r="B244" t="str">
        <f>orig_e_resources_table!B198</f>
        <v>TRIS - NTL Integrated Search</v>
      </c>
      <c r="C244" t="str">
        <f>IF(orig_e_resources_table!C198="","",orig_e_resources_table!C198)</f>
        <v>Transportation Research Information Services</v>
      </c>
      <c r="D244" t="str">
        <f>orig_e_resources_table!D198</f>
        <v>http://ntlsearch.bts.gov/tris/index.do</v>
      </c>
      <c r="E244" t="str">
        <f>LOWER(IF(orig_e_resources_table!F198=1,TRUE,FALSE))</f>
        <v>true</v>
      </c>
      <c r="F244" t="str">
        <f>LOWER(IF(orig_e_resources_table!I198=1,TRUE,FALSE))</f>
        <v>false</v>
      </c>
      <c r="G244" s="4"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I244" s="5" t="s">
        <v>1288</v>
      </c>
      <c r="J244" s="5" t="s">
        <v>1201</v>
      </c>
    </row>
    <row r="245" spans="1:10" ht="75" x14ac:dyDescent="0.25">
      <c r="A245">
        <v>198</v>
      </c>
      <c r="B245" t="str">
        <f>orig_e_resources_table!B199</f>
        <v xml:space="preserve">U.S. Supreme Court Records and Briefs, 1832-1978 </v>
      </c>
      <c r="C245" t="str">
        <f>IF(orig_e_resources_table!C199="","",orig_e_resources_table!C199)</f>
        <v/>
      </c>
      <c r="D245" t="str">
        <f>orig_e_resources_table!D199</f>
        <v>http://find.galegroup.com/menu/start?userGroupName=chic40381&amp;prod=SCRB</v>
      </c>
      <c r="E245" t="str">
        <f>LOWER(IF(orig_e_resources_table!F199=1,TRUE,FALSE))</f>
        <v>true</v>
      </c>
      <c r="F245" t="str">
        <f>LOWER(IF(orig_e_resources_table!I199=1,TRUE,FALSE))</f>
        <v>true</v>
      </c>
      <c r="G245" s="4"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c r="I245" s="5" t="s">
        <v>1248</v>
      </c>
      <c r="J245" s="5"/>
    </row>
    <row r="246" spans="1:10" ht="90" x14ac:dyDescent="0.25">
      <c r="A246">
        <v>199</v>
      </c>
      <c r="B246" t="str">
        <f>orig_e_resources_table!B200</f>
        <v>University of Virginia Electronic Text Center Collections</v>
      </c>
      <c r="C246" t="str">
        <f>IF(orig_e_resources_table!C200="","",orig_e_resources_table!C200)</f>
        <v/>
      </c>
      <c r="D246" t="str">
        <f>orig_e_resources_table!D200</f>
        <v>http://etext.lib.virginia.edu/collections/search/</v>
      </c>
      <c r="E246" t="str">
        <f>LOWER(IF(orig_e_resources_table!F200=1,TRUE,FALSE))</f>
        <v>true</v>
      </c>
      <c r="F246" t="str">
        <f>LOWER(IF(orig_e_resources_table!I200=1,TRUE,FALSE))</f>
        <v>false</v>
      </c>
      <c r="G246" s="4"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I246" s="5"/>
      <c r="J246" s="5" t="s">
        <v>1204</v>
      </c>
    </row>
    <row r="247" spans="1:10" ht="75" x14ac:dyDescent="0.25">
      <c r="A247">
        <v>200</v>
      </c>
      <c r="B247" t="str">
        <f>orig_e_resources_table!B201</f>
        <v>USA Trade Online</v>
      </c>
      <c r="C247" t="str">
        <f>IF(orig_e_resources_table!C201="","",orig_e_resources_table!C201)</f>
        <v/>
      </c>
      <c r="D247" t="str">
        <f>orig_e_resources_table!D201</f>
        <v>http://www.usatradeonline.gov/</v>
      </c>
      <c r="E247" t="str">
        <f>LOWER(IF(orig_e_resources_table!F201=1,TRUE,FALSE))</f>
        <v>true</v>
      </c>
      <c r="F247" t="str">
        <f>LOWER(IF(orig_e_resources_table!I201=1,TRUE,FALSE))</f>
        <v>false</v>
      </c>
      <c r="G247" s="4" t="str">
        <f>SUBSTITUTE(SUBSTITUTE(orig_e_resources_table!O201,CHAR(13),""),CHAR(10),"")</f>
        <v>The Foreign Trade Division of the U.S. Census Bureau and STAT-USA compile accurate and timely U.S. Merchandise Trade data, providing export and import information on more than 18,000 commodities worldwide.</v>
      </c>
      <c r="I247" s="5" t="s">
        <v>1255</v>
      </c>
      <c r="J247" s="5" t="s">
        <v>1201</v>
      </c>
    </row>
    <row r="248" spans="1:10" ht="135" x14ac:dyDescent="0.25">
      <c r="A248">
        <v>201</v>
      </c>
      <c r="B248" t="str">
        <f>orig_e_resources_table!B202</f>
        <v>USPTO</v>
      </c>
      <c r="C248" t="str">
        <f>IF(orig_e_resources_table!C202="","",orig_e_resources_table!C202)</f>
        <v>U.S. Patent and Trademark Office</v>
      </c>
      <c r="D248" t="str">
        <f>orig_e_resources_table!D202</f>
        <v>http://www.uspto.gov/</v>
      </c>
      <c r="E248" t="str">
        <f>LOWER(IF(orig_e_resources_table!F202=1,TRUE,FALSE))</f>
        <v>true</v>
      </c>
      <c r="F248" t="str">
        <f>LOWER(IF(orig_e_resources_table!I202=1,TRUE,FALSE))</f>
        <v>false</v>
      </c>
      <c r="G248" s="4"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c r="I248" s="5" t="s">
        <v>1288</v>
      </c>
      <c r="J248" s="5" t="s">
        <v>1215</v>
      </c>
    </row>
    <row r="249" spans="1:10" ht="135" x14ac:dyDescent="0.25">
      <c r="A249">
        <v>202</v>
      </c>
      <c r="B249" t="str">
        <f>orig_e_resources_table!B203</f>
        <v>Virology and AIDS Abstracts</v>
      </c>
      <c r="C249" t="str">
        <f>IF(orig_e_resources_table!C203="","",orig_e_resources_table!C203)</f>
        <v/>
      </c>
      <c r="D249" t="str">
        <f>orig_e_resources_table!D203</f>
        <v>http://www.csa.com/htbin/dbrng.cgi?username=paulg&amp;access=paulg20&amp;db=virology-set-c</v>
      </c>
      <c r="E249" t="str">
        <f>LOWER(IF(orig_e_resources_table!F203=1,TRUE,FALSE))</f>
        <v>false</v>
      </c>
      <c r="F249" t="str">
        <f>LOWER(IF(orig_e_resources_table!I203=1,TRUE,FALSE))</f>
        <v>true</v>
      </c>
      <c r="G249" s="4"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c r="I249" s="5"/>
      <c r="J249" s="5" t="s">
        <v>1201</v>
      </c>
    </row>
    <row r="250" spans="1:10" ht="60" x14ac:dyDescent="0.25">
      <c r="A250">
        <v>203</v>
      </c>
      <c r="B250" t="str">
        <f>orig_e_resources_table!B204</f>
        <v>Voices of the Holocaust</v>
      </c>
      <c r="C250" t="str">
        <f>IF(orig_e_resources_table!C204="","",orig_e_resources_table!C204)</f>
        <v/>
      </c>
      <c r="D250" t="str">
        <f>orig_e_resources_table!D204</f>
        <v>http://voices.iit.edu/</v>
      </c>
      <c r="E250" t="str">
        <f>LOWER(IF(orig_e_resources_table!F204=1,TRUE,FALSE))</f>
        <v>true</v>
      </c>
      <c r="F250" t="str">
        <f>LOWER(IF(orig_e_resources_table!I204=1,TRUE,FALSE))</f>
        <v>false</v>
      </c>
      <c r="G250" s="4" t="str">
        <f>SUBSTITUTE(SUBSTITUTE(orig_e_resources_table!O204,CHAR(13),""),CHAR(10),"")</f>
        <v>Digital collection offering access to text and audio of first-hand interviews conducted in 1946 with victims of the Nazi holocaust by former IIT professor David P. Boder.</v>
      </c>
      <c r="I250" s="5" t="s">
        <v>1289</v>
      </c>
      <c r="J250" s="5" t="s">
        <v>1224</v>
      </c>
    </row>
    <row r="251" spans="1:10" ht="60" x14ac:dyDescent="0.25">
      <c r="A251">
        <v>204</v>
      </c>
      <c r="B251" t="str">
        <f>orig_e_resources_table!B205</f>
        <v>Wall Street Journal</v>
      </c>
      <c r="C251" t="str">
        <f>IF(orig_e_resources_table!C205="","",orig_e_resources_table!C205)</f>
        <v/>
      </c>
      <c r="D251" t="str">
        <f>orig_e_resources_table!D205</f>
        <v>http://online.wsj.com/</v>
      </c>
      <c r="E251" t="str">
        <f>LOWER(IF(orig_e_resources_table!F205=1,TRUE,FALSE))</f>
        <v>true</v>
      </c>
      <c r="F251" t="str">
        <f>LOWER(IF(orig_e_resources_table!I205=1,TRUE,FALSE))</f>
        <v>false</v>
      </c>
      <c r="G251" s="4"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c r="I251" s="5" t="s">
        <v>1255</v>
      </c>
      <c r="J251" s="5" t="s">
        <v>1214</v>
      </c>
    </row>
    <row r="252" spans="1:10" ht="270" x14ac:dyDescent="0.25">
      <c r="A252">
        <v>205</v>
      </c>
      <c r="B252" t="str">
        <f>orig_e_resources_table!B206</f>
        <v>Water Resources Abstracts</v>
      </c>
      <c r="C252" t="str">
        <f>IF(orig_e_resources_table!C206="","",orig_e_resources_table!C206)</f>
        <v/>
      </c>
      <c r="D252" t="str">
        <f>orig_e_resources_table!D206</f>
        <v>http://www.csa.com/htbin/dbrng.cgi?username=paulg&amp;access=paulg20&amp;db=water-resources-set-c</v>
      </c>
      <c r="E252" t="str">
        <f>LOWER(IF(orig_e_resources_table!F206=1,TRUE,FALSE))</f>
        <v>false</v>
      </c>
      <c r="F252" t="str">
        <f>LOWER(IF(orig_e_resources_table!I206=1,TRUE,FALSE))</f>
        <v>true</v>
      </c>
      <c r="G252" s="4"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c r="I252" s="5"/>
      <c r="J252" s="5" t="s">
        <v>1201</v>
      </c>
    </row>
    <row r="253" spans="1:10" ht="225" x14ac:dyDescent="0.25">
      <c r="A253">
        <v>206</v>
      </c>
      <c r="B253" t="str">
        <f>orig_e_resources_table!B207</f>
        <v>Web of Science</v>
      </c>
      <c r="C253" t="str">
        <f>IF(orig_e_resources_table!C207="","",orig_e_resources_table!C207)</f>
        <v/>
      </c>
      <c r="D253" t="str">
        <f>orig_e_resources_table!D207</f>
        <v>http://apps.webofknowledge.com/WOS_GeneralSearch_input.do?product=WOS&amp;search_mode=GeneralSearch</v>
      </c>
      <c r="E253" t="str">
        <f>LOWER(IF(orig_e_resources_table!F207=1,TRUE,FALSE))</f>
        <v>true</v>
      </c>
      <c r="F253" t="str">
        <f>LOWER(IF(orig_e_resources_table!I207=1,TRUE,FALSE))</f>
        <v>true</v>
      </c>
      <c r="G253" s="4"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I253" s="5" t="s">
        <v>1272</v>
      </c>
      <c r="J253" s="5" t="s">
        <v>1201</v>
      </c>
    </row>
    <row r="254" spans="1:10" ht="240" x14ac:dyDescent="0.25">
      <c r="A254">
        <v>207</v>
      </c>
      <c r="B254" t="str">
        <f>orig_e_resources_table!B208</f>
        <v>WELDASEARCH</v>
      </c>
      <c r="C254" t="str">
        <f>IF(orig_e_resources_table!C208="","",orig_e_resources_table!C208)</f>
        <v/>
      </c>
      <c r="D254" t="str">
        <f>orig_e_resources_table!D208</f>
        <v>http://www.csa.com/htbin/dbrng.cgi?username=paulg&amp;access=paulg20&amp;db=weldasearch-set-c</v>
      </c>
      <c r="E254" t="str">
        <f>LOWER(IF(orig_e_resources_table!F208=1,TRUE,FALSE))</f>
        <v>false</v>
      </c>
      <c r="F254" t="str">
        <f>LOWER(IF(orig_e_resources_table!I208=1,TRUE,FALSE))</f>
        <v>true</v>
      </c>
      <c r="G254" s="4"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c r="I254" s="5"/>
      <c r="J254" s="5" t="s">
        <v>1201</v>
      </c>
    </row>
    <row r="255" spans="1:10" ht="75" x14ac:dyDescent="0.25">
      <c r="A255">
        <v>208</v>
      </c>
      <c r="B255" t="str">
        <f>orig_e_resources_table!B209</f>
        <v>Wiley InterScience</v>
      </c>
      <c r="C255" t="str">
        <f>IF(orig_e_resources_table!C209="","",orig_e_resources_table!C209)</f>
        <v/>
      </c>
      <c r="D255" t="str">
        <f>orig_e_resources_table!D209</f>
        <v>http://www3.interscience.wiley.com/browse/?type=JOURNAL&amp;titles=1</v>
      </c>
      <c r="E255" t="str">
        <f>LOWER(IF(orig_e_resources_table!F209=1,TRUE,FALSE))</f>
        <v>true</v>
      </c>
      <c r="F255" t="str">
        <f>LOWER(IF(orig_e_resources_table!I209=1,TRUE,FALSE))</f>
        <v>true</v>
      </c>
      <c r="G255" s="4"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c r="I255" s="5" t="s">
        <v>1272</v>
      </c>
      <c r="J255" s="5" t="s">
        <v>1201</v>
      </c>
    </row>
    <row r="256" spans="1:10" ht="75" x14ac:dyDescent="0.25">
      <c r="A256">
        <v>209</v>
      </c>
      <c r="B256" t="str">
        <f>orig_e_resources_table!B210</f>
        <v>WilsonSelect</v>
      </c>
      <c r="C256" t="str">
        <f>IF(orig_e_resources_table!C210="","",orig_e_resources_table!C210)</f>
        <v/>
      </c>
      <c r="D256" t="str">
        <f>orig_e_resources_table!D210</f>
        <v>http://newfirstsearch.oclc.org/dbname=WilsonSelectPlus;FSIP</v>
      </c>
      <c r="E256" t="str">
        <f>LOWER(IF(orig_e_resources_table!F210=1,TRUE,FALSE))</f>
        <v>false</v>
      </c>
      <c r="F256" t="str">
        <f>LOWER(IF(orig_e_resources_table!I210=1,TRUE,FALSE))</f>
        <v>true</v>
      </c>
      <c r="G256" s="4" t="str">
        <f>SUBSTITUTE(SUBSTITUTE(orig_e_resources_table!O210,CHAR(13),""),CHAR(10),"")</f>
        <v>This database is comprised of records from the following H.W. Wilson databases: Readers' Guide Abstracts, Social Sciences Abstracts, Humanities Abstracts, General Science Abstracts and Wilson Business Abstracts.</v>
      </c>
      <c r="I256" s="5"/>
      <c r="J256" s="5" t="s">
        <v>1201</v>
      </c>
    </row>
    <row r="257" spans="1:10" ht="30" x14ac:dyDescent="0.25">
      <c r="A257">
        <v>210</v>
      </c>
      <c r="B257" t="str">
        <f>orig_e_resources_table!B211</f>
        <v>World Almanac</v>
      </c>
      <c r="C257" t="str">
        <f>IF(orig_e_resources_table!C211="","",orig_e_resources_table!C211)</f>
        <v/>
      </c>
      <c r="D257" t="str">
        <f>orig_e_resources_table!D211</f>
        <v>http://newfirstsearch.oclc.org/dbname=WorldAlmanac;FSIP</v>
      </c>
      <c r="E257" t="str">
        <f>LOWER(IF(orig_e_resources_table!F211=1,TRUE,FALSE))</f>
        <v>true</v>
      </c>
      <c r="F257" t="str">
        <f>LOWER(IF(orig_e_resources_table!I211=1,TRUE,FALSE))</f>
        <v>true</v>
      </c>
      <c r="G257" s="4" t="str">
        <f>SUBSTITUTE(SUBSTITUTE(orig_e_resources_table!O211,CHAR(13),""),CHAR(10),"")</f>
        <v>Online reference source featuring content from Funk &amp;amp; Wagnalls New Encyclopedia and four almanacs.</v>
      </c>
      <c r="I257" s="5"/>
      <c r="J257" s="5" t="s">
        <v>1201</v>
      </c>
    </row>
    <row r="258" spans="1:10" ht="60" x14ac:dyDescent="0.25">
      <c r="A258">
        <v>211</v>
      </c>
      <c r="B258" t="str">
        <f>orig_e_resources_table!B212</f>
        <v>WorldCat</v>
      </c>
      <c r="C258" t="str">
        <f>IF(orig_e_resources_table!C212="","",orig_e_resources_table!C212)</f>
        <v/>
      </c>
      <c r="D258" t="str">
        <f>orig_e_resources_table!D212</f>
        <v>http://newfirstsearch.oclc.org/dbname=WorldCat;FSIP</v>
      </c>
      <c r="E258" t="str">
        <f>LOWER(IF(orig_e_resources_table!F212=1,TRUE,FALSE))</f>
        <v>true</v>
      </c>
      <c r="F258" t="str">
        <f>LOWER(IF(orig_e_resources_table!I212=1,TRUE,FALSE))</f>
        <v>true</v>
      </c>
      <c r="G258" s="4" t="str">
        <f>SUBSTITUTE(SUBSTITUTE(orig_e_resources_table!O212,CHAR(13),""),CHAR(10),"")</f>
        <v>WorldCat is an online catalog that contains the holdings of more than 8,000 libraries worldwide. You can place requests in WorldCat for materials not owned by IIT or I-Share Libraries.</v>
      </c>
      <c r="I258" s="5"/>
      <c r="J258" s="5" t="s">
        <v>1213</v>
      </c>
    </row>
    <row r="259" spans="1:10" ht="45" x14ac:dyDescent="0.25">
      <c r="A259">
        <v>244</v>
      </c>
      <c r="B259" t="str">
        <f>orig_e_resources_table!B245</f>
        <v>WorldCat Dissertations and Theses</v>
      </c>
      <c r="C259" t="str">
        <f>IF(orig_e_resources_table!C245="","",orig_e_resources_table!C245)</f>
        <v>NULL</v>
      </c>
      <c r="D259" t="str">
        <f>orig_e_resources_table!D245</f>
        <v>http://newfirstsearch.oclc.org/dbname=WorldCatDissertations;FSIP</v>
      </c>
      <c r="E259" t="str">
        <f>LOWER(IF(orig_e_resources_table!F245=1,TRUE,FALSE))</f>
        <v>true</v>
      </c>
      <c r="F259" t="str">
        <f>LOWER(IF(orig_e_resources_table!I245=1,TRUE,FALSE))</f>
        <v>true</v>
      </c>
      <c r="G259" s="4" t="str">
        <f>SUBSTITUTE(SUBSTITUTE(orig_e_resources_table!O245,CHAR(13),""),CHAR(10),"")</f>
        <v>Search for dissertations and theses held in over 8,000 libraries worldwide. Covers all disciplines and subject areas.</v>
      </c>
      <c r="I259" s="5"/>
      <c r="J259" s="5" t="s">
        <v>1211</v>
      </c>
    </row>
    <row r="260" spans="1:10" ht="45" x14ac:dyDescent="0.25">
      <c r="A260">
        <v>214</v>
      </c>
      <c r="B260" t="str">
        <f>orig_e_resources_table!B215</f>
        <v>World's Columbian Exposition of 1893</v>
      </c>
      <c r="C260" t="str">
        <f>IF(orig_e_resources_table!C215="","",orig_e_resources_table!C215)</f>
        <v>NULL</v>
      </c>
      <c r="D260" t="str">
        <f>orig_e_resources_table!D215</f>
        <v>http://columbus.gl.iit.edu/</v>
      </c>
      <c r="E260" t="str">
        <f>LOWER(IF(orig_e_resources_table!F215=1,TRUE,FALSE))</f>
        <v>true</v>
      </c>
      <c r="F260" t="str">
        <f>LOWER(IF(orig_e_resources_table!I215=1,TRUE,FALSE))</f>
        <v>false</v>
      </c>
      <c r="G260" s="4" t="str">
        <f>SUBSTITUTE(SUBSTITUTE(orig_e_resources_table!O215,CHAR(13),""),CHAR(10),"")</f>
        <v>An online collection of over 12,000 illustrations and full-text images from four rare nineteenth-century volumes about the Chicago World's Fair.</v>
      </c>
      <c r="I260" s="5" t="s">
        <v>1290</v>
      </c>
      <c r="J260" s="5" t="s">
        <v>1224</v>
      </c>
    </row>
    <row r="261" spans="1:10" x14ac:dyDescent="0.25">
      <c r="I261" s="5"/>
      <c r="J261" s="5"/>
    </row>
    <row r="262" spans="1:10" x14ac:dyDescent="0.25">
      <c r="I262" s="5" t="s">
        <v>1226</v>
      </c>
    </row>
  </sheetData>
  <sortState ref="A2:J261">
    <sortCondition ref="B2:B261"/>
  </sortState>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orig_e_resources_table</vt:lpstr>
      <vt:lpstr>select and format columns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2014-03-30T15:29:32Z</dcterms:modified>
</cp:coreProperties>
</file>